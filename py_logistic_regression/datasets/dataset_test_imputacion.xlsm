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-22.04\home\apa\github\ai\logistic_regression\datasets\"/>
    </mc:Choice>
  </mc:AlternateContent>
  <xr:revisionPtr revIDLastSave="0" documentId="8_{8B3FA816-9908-46D4-AAF4-3657F8C3D362}" xr6:coauthVersionLast="47" xr6:coauthVersionMax="47" xr10:uidLastSave="{00000000-0000-0000-0000-000000000000}"/>
  <bookViews>
    <workbookView xWindow="-110" yWindow="-110" windowWidth="19420" windowHeight="11020"/>
  </bookViews>
  <sheets>
    <sheet name="dataset_test" sheetId="1" r:id="rId1"/>
  </sheets>
  <definedNames>
    <definedName name="_xlnm._FilterDatabase" localSheetId="0" hidden="1">dataset_test!$A$1:$Z$401</definedName>
  </definedNames>
  <calcPr calcId="0"/>
</workbook>
</file>

<file path=xl/calcChain.xml><?xml version="1.0" encoding="utf-8"?>
<calcChain xmlns="http://schemas.openxmlformats.org/spreadsheetml/2006/main">
  <c r="J401" i="1" l="1"/>
  <c r="J256" i="1"/>
  <c r="J241" i="1"/>
  <c r="J120" i="1"/>
  <c r="J110" i="1"/>
  <c r="J5" i="1"/>
  <c r="J17" i="1"/>
  <c r="Z86" i="1"/>
  <c r="Z26" i="1"/>
  <c r="V3" i="1"/>
  <c r="W3" i="1"/>
  <c r="X3" i="1"/>
  <c r="V4" i="1"/>
  <c r="W4" i="1"/>
  <c r="X4" i="1"/>
  <c r="V5" i="1"/>
  <c r="W5" i="1"/>
  <c r="X5" i="1"/>
  <c r="V6" i="1"/>
  <c r="W6" i="1"/>
  <c r="X6" i="1"/>
  <c r="V7" i="1"/>
  <c r="W7" i="1"/>
  <c r="X7" i="1"/>
  <c r="V8" i="1"/>
  <c r="W8" i="1"/>
  <c r="X8" i="1"/>
  <c r="V9" i="1"/>
  <c r="W9" i="1"/>
  <c r="X9" i="1"/>
  <c r="V10" i="1"/>
  <c r="W10" i="1"/>
  <c r="X10" i="1"/>
  <c r="V11" i="1"/>
  <c r="W11" i="1"/>
  <c r="X11" i="1"/>
  <c r="V12" i="1"/>
  <c r="W12" i="1"/>
  <c r="X12" i="1"/>
  <c r="V13" i="1"/>
  <c r="W13" i="1"/>
  <c r="X13" i="1"/>
  <c r="V14" i="1"/>
  <c r="W14" i="1"/>
  <c r="X14" i="1"/>
  <c r="V15" i="1"/>
  <c r="W15" i="1"/>
  <c r="X15" i="1"/>
  <c r="V16" i="1"/>
  <c r="W16" i="1"/>
  <c r="X16" i="1"/>
  <c r="V17" i="1"/>
  <c r="W17" i="1"/>
  <c r="X17" i="1"/>
  <c r="V18" i="1"/>
  <c r="W18" i="1"/>
  <c r="X18" i="1"/>
  <c r="V19" i="1"/>
  <c r="W19" i="1"/>
  <c r="X19" i="1"/>
  <c r="V20" i="1"/>
  <c r="W20" i="1"/>
  <c r="X20" i="1"/>
  <c r="V21" i="1"/>
  <c r="W21" i="1"/>
  <c r="X21" i="1"/>
  <c r="V22" i="1"/>
  <c r="W22" i="1"/>
  <c r="X22" i="1"/>
  <c r="V23" i="1"/>
  <c r="W23" i="1"/>
  <c r="X23" i="1"/>
  <c r="V24" i="1"/>
  <c r="W24" i="1"/>
  <c r="X24" i="1"/>
  <c r="V25" i="1"/>
  <c r="W25" i="1"/>
  <c r="X25" i="1"/>
  <c r="V26" i="1"/>
  <c r="W26" i="1"/>
  <c r="X26" i="1"/>
  <c r="V27" i="1"/>
  <c r="W27" i="1"/>
  <c r="X27" i="1"/>
  <c r="V28" i="1"/>
  <c r="W28" i="1"/>
  <c r="X28" i="1"/>
  <c r="V29" i="1"/>
  <c r="W29" i="1"/>
  <c r="X29" i="1"/>
  <c r="V30" i="1"/>
  <c r="W30" i="1"/>
  <c r="X30" i="1"/>
  <c r="V31" i="1"/>
  <c r="W31" i="1"/>
  <c r="X31" i="1"/>
  <c r="V32" i="1"/>
  <c r="W32" i="1"/>
  <c r="X32" i="1"/>
  <c r="V33" i="1"/>
  <c r="W33" i="1"/>
  <c r="X33" i="1"/>
  <c r="V34" i="1"/>
  <c r="W34" i="1"/>
  <c r="X34" i="1"/>
  <c r="V35" i="1"/>
  <c r="W35" i="1"/>
  <c r="X35" i="1"/>
  <c r="V36" i="1"/>
  <c r="W36" i="1"/>
  <c r="X36" i="1"/>
  <c r="V37" i="1"/>
  <c r="W37" i="1"/>
  <c r="X37" i="1"/>
  <c r="V38" i="1"/>
  <c r="W38" i="1"/>
  <c r="X38" i="1"/>
  <c r="V39" i="1"/>
  <c r="W39" i="1"/>
  <c r="X39" i="1"/>
  <c r="V40" i="1"/>
  <c r="W40" i="1"/>
  <c r="X40" i="1"/>
  <c r="V41" i="1"/>
  <c r="W41" i="1"/>
  <c r="X41" i="1"/>
  <c r="V42" i="1"/>
  <c r="W42" i="1"/>
  <c r="X42" i="1"/>
  <c r="V43" i="1"/>
  <c r="W43" i="1"/>
  <c r="X43" i="1"/>
  <c r="V44" i="1"/>
  <c r="W44" i="1"/>
  <c r="X44" i="1"/>
  <c r="Z44" i="1" s="1"/>
  <c r="V45" i="1"/>
  <c r="W45" i="1"/>
  <c r="X45" i="1"/>
  <c r="V46" i="1"/>
  <c r="W46" i="1"/>
  <c r="X46" i="1"/>
  <c r="V47" i="1"/>
  <c r="W47" i="1"/>
  <c r="X47" i="1"/>
  <c r="V48" i="1"/>
  <c r="W48" i="1"/>
  <c r="X48" i="1"/>
  <c r="V49" i="1"/>
  <c r="W49" i="1"/>
  <c r="X49" i="1"/>
  <c r="V50" i="1"/>
  <c r="W50" i="1"/>
  <c r="X50" i="1"/>
  <c r="V51" i="1"/>
  <c r="W51" i="1"/>
  <c r="X51" i="1"/>
  <c r="V52" i="1"/>
  <c r="W52" i="1"/>
  <c r="X52" i="1"/>
  <c r="V53" i="1"/>
  <c r="W53" i="1"/>
  <c r="X53" i="1"/>
  <c r="V54" i="1"/>
  <c r="W54" i="1"/>
  <c r="X54" i="1"/>
  <c r="V55" i="1"/>
  <c r="W55" i="1"/>
  <c r="X55" i="1"/>
  <c r="V56" i="1"/>
  <c r="W56" i="1"/>
  <c r="X56" i="1"/>
  <c r="V57" i="1"/>
  <c r="W57" i="1"/>
  <c r="X57" i="1"/>
  <c r="V58" i="1"/>
  <c r="W58" i="1"/>
  <c r="X58" i="1"/>
  <c r="V59" i="1"/>
  <c r="W59" i="1"/>
  <c r="X59" i="1"/>
  <c r="V60" i="1"/>
  <c r="W60" i="1"/>
  <c r="X60" i="1"/>
  <c r="V61" i="1"/>
  <c r="W61" i="1"/>
  <c r="X61" i="1"/>
  <c r="V62" i="1"/>
  <c r="W62" i="1"/>
  <c r="X62" i="1"/>
  <c r="V63" i="1"/>
  <c r="W63" i="1"/>
  <c r="X63" i="1"/>
  <c r="V64" i="1"/>
  <c r="W64" i="1"/>
  <c r="X64" i="1"/>
  <c r="V65" i="1"/>
  <c r="W65" i="1"/>
  <c r="X65" i="1"/>
  <c r="V66" i="1"/>
  <c r="W66" i="1"/>
  <c r="X66" i="1"/>
  <c r="V67" i="1"/>
  <c r="W67" i="1"/>
  <c r="X67" i="1"/>
  <c r="V68" i="1"/>
  <c r="W68" i="1"/>
  <c r="X68" i="1"/>
  <c r="V69" i="1"/>
  <c r="W69" i="1"/>
  <c r="X69" i="1"/>
  <c r="V70" i="1"/>
  <c r="W70" i="1"/>
  <c r="X70" i="1"/>
  <c r="V71" i="1"/>
  <c r="W71" i="1"/>
  <c r="X71" i="1"/>
  <c r="V72" i="1"/>
  <c r="W72" i="1"/>
  <c r="X72" i="1"/>
  <c r="V73" i="1"/>
  <c r="W73" i="1"/>
  <c r="X73" i="1"/>
  <c r="V74" i="1"/>
  <c r="W74" i="1"/>
  <c r="X74" i="1"/>
  <c r="V75" i="1"/>
  <c r="W75" i="1"/>
  <c r="X75" i="1"/>
  <c r="V76" i="1"/>
  <c r="W76" i="1"/>
  <c r="X76" i="1"/>
  <c r="V77" i="1"/>
  <c r="W77" i="1"/>
  <c r="X77" i="1"/>
  <c r="V78" i="1"/>
  <c r="W78" i="1"/>
  <c r="X78" i="1"/>
  <c r="V79" i="1"/>
  <c r="W79" i="1"/>
  <c r="X79" i="1"/>
  <c r="V80" i="1"/>
  <c r="W80" i="1"/>
  <c r="X80" i="1"/>
  <c r="V81" i="1"/>
  <c r="W81" i="1"/>
  <c r="X81" i="1"/>
  <c r="V82" i="1"/>
  <c r="W82" i="1"/>
  <c r="X82" i="1"/>
  <c r="V83" i="1"/>
  <c r="W83" i="1"/>
  <c r="X83" i="1"/>
  <c r="V84" i="1"/>
  <c r="W84" i="1"/>
  <c r="X84" i="1"/>
  <c r="V85" i="1"/>
  <c r="W85" i="1"/>
  <c r="X85" i="1"/>
  <c r="V86" i="1"/>
  <c r="W86" i="1"/>
  <c r="X86" i="1"/>
  <c r="V87" i="1"/>
  <c r="W87" i="1"/>
  <c r="X87" i="1"/>
  <c r="V88" i="1"/>
  <c r="W88" i="1"/>
  <c r="X88" i="1"/>
  <c r="V89" i="1"/>
  <c r="W89" i="1"/>
  <c r="X89" i="1"/>
  <c r="V90" i="1"/>
  <c r="W90" i="1"/>
  <c r="X90" i="1"/>
  <c r="V91" i="1"/>
  <c r="W91" i="1"/>
  <c r="X91" i="1"/>
  <c r="V92" i="1"/>
  <c r="W92" i="1"/>
  <c r="X92" i="1"/>
  <c r="V93" i="1"/>
  <c r="W93" i="1"/>
  <c r="X93" i="1"/>
  <c r="V94" i="1"/>
  <c r="W94" i="1"/>
  <c r="X94" i="1"/>
  <c r="V95" i="1"/>
  <c r="W95" i="1"/>
  <c r="X95" i="1"/>
  <c r="V96" i="1"/>
  <c r="W96" i="1"/>
  <c r="X96" i="1"/>
  <c r="V97" i="1"/>
  <c r="W97" i="1"/>
  <c r="X97" i="1"/>
  <c r="V98" i="1"/>
  <c r="W98" i="1"/>
  <c r="X98" i="1"/>
  <c r="V99" i="1"/>
  <c r="W99" i="1"/>
  <c r="X99" i="1"/>
  <c r="V100" i="1"/>
  <c r="W100" i="1"/>
  <c r="X100" i="1"/>
  <c r="V101" i="1"/>
  <c r="W101" i="1"/>
  <c r="X101" i="1"/>
  <c r="V102" i="1"/>
  <c r="W102" i="1"/>
  <c r="X102" i="1"/>
  <c r="V103" i="1"/>
  <c r="W103" i="1"/>
  <c r="X103" i="1"/>
  <c r="V104" i="1"/>
  <c r="W104" i="1"/>
  <c r="X104" i="1"/>
  <c r="V105" i="1"/>
  <c r="W105" i="1"/>
  <c r="X105" i="1"/>
  <c r="V106" i="1"/>
  <c r="W106" i="1"/>
  <c r="X106" i="1"/>
  <c r="V107" i="1"/>
  <c r="W107" i="1"/>
  <c r="X107" i="1"/>
  <c r="V108" i="1"/>
  <c r="W108" i="1"/>
  <c r="X108" i="1"/>
  <c r="V109" i="1"/>
  <c r="W109" i="1"/>
  <c r="X109" i="1"/>
  <c r="V110" i="1"/>
  <c r="W110" i="1"/>
  <c r="X110" i="1"/>
  <c r="V111" i="1"/>
  <c r="W111" i="1"/>
  <c r="X111" i="1"/>
  <c r="V112" i="1"/>
  <c r="W112" i="1"/>
  <c r="X112" i="1"/>
  <c r="V113" i="1"/>
  <c r="W113" i="1"/>
  <c r="X113" i="1"/>
  <c r="V114" i="1"/>
  <c r="W114" i="1"/>
  <c r="X114" i="1"/>
  <c r="V115" i="1"/>
  <c r="W115" i="1"/>
  <c r="X115" i="1"/>
  <c r="V116" i="1"/>
  <c r="W116" i="1"/>
  <c r="X116" i="1"/>
  <c r="V117" i="1"/>
  <c r="W117" i="1"/>
  <c r="X117" i="1"/>
  <c r="V118" i="1"/>
  <c r="W118" i="1"/>
  <c r="X118" i="1"/>
  <c r="V119" i="1"/>
  <c r="W119" i="1"/>
  <c r="X119" i="1"/>
  <c r="V120" i="1"/>
  <c r="W120" i="1"/>
  <c r="X120" i="1"/>
  <c r="V121" i="1"/>
  <c r="W121" i="1"/>
  <c r="X121" i="1"/>
  <c r="V122" i="1"/>
  <c r="W122" i="1"/>
  <c r="X122" i="1"/>
  <c r="V123" i="1"/>
  <c r="W123" i="1"/>
  <c r="X123" i="1"/>
  <c r="V124" i="1"/>
  <c r="W124" i="1"/>
  <c r="X124" i="1"/>
  <c r="V125" i="1"/>
  <c r="W125" i="1"/>
  <c r="X125" i="1"/>
  <c r="V126" i="1"/>
  <c r="W126" i="1"/>
  <c r="X126" i="1"/>
  <c r="V127" i="1"/>
  <c r="W127" i="1"/>
  <c r="X127" i="1"/>
  <c r="V128" i="1"/>
  <c r="W128" i="1"/>
  <c r="X128" i="1"/>
  <c r="V129" i="1"/>
  <c r="W129" i="1"/>
  <c r="X129" i="1"/>
  <c r="V130" i="1"/>
  <c r="W130" i="1"/>
  <c r="X130" i="1"/>
  <c r="V131" i="1"/>
  <c r="W131" i="1"/>
  <c r="X131" i="1"/>
  <c r="V132" i="1"/>
  <c r="W132" i="1"/>
  <c r="X132" i="1"/>
  <c r="V133" i="1"/>
  <c r="W133" i="1"/>
  <c r="X133" i="1"/>
  <c r="V134" i="1"/>
  <c r="W134" i="1"/>
  <c r="X134" i="1"/>
  <c r="V135" i="1"/>
  <c r="W135" i="1"/>
  <c r="X135" i="1"/>
  <c r="V136" i="1"/>
  <c r="W136" i="1"/>
  <c r="X136" i="1"/>
  <c r="V137" i="1"/>
  <c r="W137" i="1"/>
  <c r="X137" i="1"/>
  <c r="V138" i="1"/>
  <c r="W138" i="1"/>
  <c r="X138" i="1"/>
  <c r="V139" i="1"/>
  <c r="W139" i="1"/>
  <c r="X139" i="1"/>
  <c r="V140" i="1"/>
  <c r="W140" i="1"/>
  <c r="X140" i="1"/>
  <c r="V141" i="1"/>
  <c r="W141" i="1"/>
  <c r="X141" i="1"/>
  <c r="V142" i="1"/>
  <c r="W142" i="1"/>
  <c r="X142" i="1"/>
  <c r="V143" i="1"/>
  <c r="W143" i="1"/>
  <c r="X143" i="1"/>
  <c r="V144" i="1"/>
  <c r="W144" i="1"/>
  <c r="X144" i="1"/>
  <c r="V145" i="1"/>
  <c r="W145" i="1"/>
  <c r="X145" i="1"/>
  <c r="V146" i="1"/>
  <c r="W146" i="1"/>
  <c r="X146" i="1"/>
  <c r="V147" i="1"/>
  <c r="W147" i="1"/>
  <c r="X147" i="1"/>
  <c r="V148" i="1"/>
  <c r="W148" i="1"/>
  <c r="X148" i="1"/>
  <c r="V149" i="1"/>
  <c r="W149" i="1"/>
  <c r="X149" i="1"/>
  <c r="V150" i="1"/>
  <c r="W150" i="1"/>
  <c r="X150" i="1"/>
  <c r="V151" i="1"/>
  <c r="W151" i="1"/>
  <c r="X151" i="1"/>
  <c r="V152" i="1"/>
  <c r="W152" i="1"/>
  <c r="X152" i="1"/>
  <c r="V153" i="1"/>
  <c r="W153" i="1"/>
  <c r="X153" i="1"/>
  <c r="V154" i="1"/>
  <c r="W154" i="1"/>
  <c r="X154" i="1"/>
  <c r="V155" i="1"/>
  <c r="W155" i="1"/>
  <c r="X155" i="1"/>
  <c r="V156" i="1"/>
  <c r="W156" i="1"/>
  <c r="X156" i="1"/>
  <c r="V157" i="1"/>
  <c r="W157" i="1"/>
  <c r="X157" i="1"/>
  <c r="V158" i="1"/>
  <c r="W158" i="1"/>
  <c r="X158" i="1"/>
  <c r="V159" i="1"/>
  <c r="W159" i="1"/>
  <c r="X159" i="1"/>
  <c r="V160" i="1"/>
  <c r="W160" i="1"/>
  <c r="X160" i="1"/>
  <c r="V161" i="1"/>
  <c r="W161" i="1"/>
  <c r="X161" i="1"/>
  <c r="V162" i="1"/>
  <c r="W162" i="1"/>
  <c r="X162" i="1"/>
  <c r="V163" i="1"/>
  <c r="W163" i="1"/>
  <c r="X163" i="1"/>
  <c r="V164" i="1"/>
  <c r="W164" i="1"/>
  <c r="X164" i="1"/>
  <c r="V165" i="1"/>
  <c r="W165" i="1"/>
  <c r="X165" i="1"/>
  <c r="V166" i="1"/>
  <c r="W166" i="1"/>
  <c r="X166" i="1"/>
  <c r="V167" i="1"/>
  <c r="W167" i="1"/>
  <c r="X167" i="1"/>
  <c r="V168" i="1"/>
  <c r="W168" i="1"/>
  <c r="X168" i="1"/>
  <c r="V169" i="1"/>
  <c r="W169" i="1"/>
  <c r="X169" i="1"/>
  <c r="V170" i="1"/>
  <c r="W170" i="1"/>
  <c r="X170" i="1"/>
  <c r="V171" i="1"/>
  <c r="W171" i="1"/>
  <c r="X171" i="1"/>
  <c r="V172" i="1"/>
  <c r="W172" i="1"/>
  <c r="X172" i="1"/>
  <c r="V173" i="1"/>
  <c r="W173" i="1"/>
  <c r="X173" i="1"/>
  <c r="V174" i="1"/>
  <c r="W174" i="1"/>
  <c r="X174" i="1"/>
  <c r="V175" i="1"/>
  <c r="W175" i="1"/>
  <c r="X175" i="1"/>
  <c r="V176" i="1"/>
  <c r="W176" i="1"/>
  <c r="X176" i="1"/>
  <c r="V177" i="1"/>
  <c r="W177" i="1"/>
  <c r="X177" i="1"/>
  <c r="V178" i="1"/>
  <c r="W178" i="1"/>
  <c r="X178" i="1"/>
  <c r="V179" i="1"/>
  <c r="W179" i="1"/>
  <c r="X179" i="1"/>
  <c r="V180" i="1"/>
  <c r="W180" i="1"/>
  <c r="X180" i="1"/>
  <c r="V181" i="1"/>
  <c r="W181" i="1"/>
  <c r="X181" i="1"/>
  <c r="V182" i="1"/>
  <c r="W182" i="1"/>
  <c r="X182" i="1"/>
  <c r="V183" i="1"/>
  <c r="W183" i="1"/>
  <c r="X183" i="1"/>
  <c r="V184" i="1"/>
  <c r="W184" i="1"/>
  <c r="X184" i="1"/>
  <c r="V185" i="1"/>
  <c r="W185" i="1"/>
  <c r="X185" i="1"/>
  <c r="V186" i="1"/>
  <c r="W186" i="1"/>
  <c r="X186" i="1"/>
  <c r="V187" i="1"/>
  <c r="W187" i="1"/>
  <c r="X187" i="1"/>
  <c r="V188" i="1"/>
  <c r="W188" i="1"/>
  <c r="X188" i="1"/>
  <c r="V189" i="1"/>
  <c r="W189" i="1"/>
  <c r="X189" i="1"/>
  <c r="V190" i="1"/>
  <c r="W190" i="1"/>
  <c r="X190" i="1"/>
  <c r="V191" i="1"/>
  <c r="W191" i="1"/>
  <c r="X191" i="1"/>
  <c r="V192" i="1"/>
  <c r="W192" i="1"/>
  <c r="X192" i="1"/>
  <c r="V193" i="1"/>
  <c r="W193" i="1"/>
  <c r="X193" i="1"/>
  <c r="V194" i="1"/>
  <c r="W194" i="1"/>
  <c r="X194" i="1"/>
  <c r="V195" i="1"/>
  <c r="W195" i="1"/>
  <c r="X195" i="1"/>
  <c r="V196" i="1"/>
  <c r="W196" i="1"/>
  <c r="X196" i="1"/>
  <c r="V197" i="1"/>
  <c r="W197" i="1"/>
  <c r="X197" i="1"/>
  <c r="V198" i="1"/>
  <c r="W198" i="1"/>
  <c r="X198" i="1"/>
  <c r="V199" i="1"/>
  <c r="W199" i="1"/>
  <c r="X199" i="1"/>
  <c r="V200" i="1"/>
  <c r="W200" i="1"/>
  <c r="X200" i="1"/>
  <c r="V201" i="1"/>
  <c r="W201" i="1"/>
  <c r="X201" i="1"/>
  <c r="V202" i="1"/>
  <c r="W202" i="1"/>
  <c r="X202" i="1"/>
  <c r="V203" i="1"/>
  <c r="W203" i="1"/>
  <c r="X203" i="1"/>
  <c r="V204" i="1"/>
  <c r="W204" i="1"/>
  <c r="X204" i="1"/>
  <c r="V205" i="1"/>
  <c r="W205" i="1"/>
  <c r="X205" i="1"/>
  <c r="V206" i="1"/>
  <c r="W206" i="1"/>
  <c r="X206" i="1"/>
  <c r="V207" i="1"/>
  <c r="W207" i="1"/>
  <c r="X207" i="1"/>
  <c r="V208" i="1"/>
  <c r="W208" i="1"/>
  <c r="X208" i="1"/>
  <c r="V209" i="1"/>
  <c r="W209" i="1"/>
  <c r="X209" i="1"/>
  <c r="V210" i="1"/>
  <c r="W210" i="1"/>
  <c r="X210" i="1"/>
  <c r="V211" i="1"/>
  <c r="W211" i="1"/>
  <c r="X211" i="1"/>
  <c r="V212" i="1"/>
  <c r="W212" i="1"/>
  <c r="X212" i="1"/>
  <c r="V213" i="1"/>
  <c r="W213" i="1"/>
  <c r="X213" i="1"/>
  <c r="V214" i="1"/>
  <c r="W214" i="1"/>
  <c r="X214" i="1"/>
  <c r="V215" i="1"/>
  <c r="W215" i="1"/>
  <c r="X215" i="1"/>
  <c r="V216" i="1"/>
  <c r="W216" i="1"/>
  <c r="X216" i="1"/>
  <c r="V217" i="1"/>
  <c r="W217" i="1"/>
  <c r="X217" i="1"/>
  <c r="V218" i="1"/>
  <c r="W218" i="1"/>
  <c r="X218" i="1"/>
  <c r="V219" i="1"/>
  <c r="W219" i="1"/>
  <c r="X219" i="1"/>
  <c r="V220" i="1"/>
  <c r="W220" i="1"/>
  <c r="X220" i="1"/>
  <c r="V221" i="1"/>
  <c r="W221" i="1"/>
  <c r="X221" i="1"/>
  <c r="V222" i="1"/>
  <c r="W222" i="1"/>
  <c r="X222" i="1"/>
  <c r="V223" i="1"/>
  <c r="W223" i="1"/>
  <c r="X223" i="1"/>
  <c r="V224" i="1"/>
  <c r="W224" i="1"/>
  <c r="X224" i="1"/>
  <c r="V225" i="1"/>
  <c r="W225" i="1"/>
  <c r="X225" i="1"/>
  <c r="V226" i="1"/>
  <c r="W226" i="1"/>
  <c r="X226" i="1"/>
  <c r="V227" i="1"/>
  <c r="W227" i="1"/>
  <c r="X227" i="1"/>
  <c r="V228" i="1"/>
  <c r="W228" i="1"/>
  <c r="X228" i="1"/>
  <c r="V229" i="1"/>
  <c r="W229" i="1"/>
  <c r="X229" i="1"/>
  <c r="V230" i="1"/>
  <c r="W230" i="1"/>
  <c r="X230" i="1"/>
  <c r="V231" i="1"/>
  <c r="W231" i="1"/>
  <c r="X231" i="1"/>
  <c r="V232" i="1"/>
  <c r="W232" i="1"/>
  <c r="X232" i="1"/>
  <c r="V233" i="1"/>
  <c r="W233" i="1"/>
  <c r="X233" i="1"/>
  <c r="V234" i="1"/>
  <c r="W234" i="1"/>
  <c r="X234" i="1"/>
  <c r="V235" i="1"/>
  <c r="W235" i="1"/>
  <c r="X235" i="1"/>
  <c r="V236" i="1"/>
  <c r="W236" i="1"/>
  <c r="X236" i="1"/>
  <c r="V237" i="1"/>
  <c r="W237" i="1"/>
  <c r="X237" i="1"/>
  <c r="V238" i="1"/>
  <c r="W238" i="1"/>
  <c r="X238" i="1"/>
  <c r="V239" i="1"/>
  <c r="W239" i="1"/>
  <c r="X239" i="1"/>
  <c r="V240" i="1"/>
  <c r="W240" i="1"/>
  <c r="X240" i="1"/>
  <c r="V241" i="1"/>
  <c r="W241" i="1"/>
  <c r="X241" i="1"/>
  <c r="V242" i="1"/>
  <c r="W242" i="1"/>
  <c r="X242" i="1"/>
  <c r="V243" i="1"/>
  <c r="W243" i="1"/>
  <c r="X243" i="1"/>
  <c r="V244" i="1"/>
  <c r="W244" i="1"/>
  <c r="X244" i="1"/>
  <c r="V245" i="1"/>
  <c r="W245" i="1"/>
  <c r="X245" i="1"/>
  <c r="V246" i="1"/>
  <c r="W246" i="1"/>
  <c r="X246" i="1"/>
  <c r="V247" i="1"/>
  <c r="W247" i="1"/>
  <c r="X247" i="1"/>
  <c r="V248" i="1"/>
  <c r="W248" i="1"/>
  <c r="X248" i="1"/>
  <c r="V249" i="1"/>
  <c r="W249" i="1"/>
  <c r="X249" i="1"/>
  <c r="V250" i="1"/>
  <c r="W250" i="1"/>
  <c r="X250" i="1"/>
  <c r="V251" i="1"/>
  <c r="W251" i="1"/>
  <c r="X251" i="1"/>
  <c r="V252" i="1"/>
  <c r="W252" i="1"/>
  <c r="X252" i="1"/>
  <c r="V253" i="1"/>
  <c r="W253" i="1"/>
  <c r="X253" i="1"/>
  <c r="V254" i="1"/>
  <c r="W254" i="1"/>
  <c r="X254" i="1"/>
  <c r="V255" i="1"/>
  <c r="W255" i="1"/>
  <c r="X255" i="1"/>
  <c r="V256" i="1"/>
  <c r="W256" i="1"/>
  <c r="X256" i="1"/>
  <c r="V257" i="1"/>
  <c r="W257" i="1"/>
  <c r="X257" i="1"/>
  <c r="V258" i="1"/>
  <c r="W258" i="1"/>
  <c r="X258" i="1"/>
  <c r="V259" i="1"/>
  <c r="W259" i="1"/>
  <c r="X259" i="1"/>
  <c r="V260" i="1"/>
  <c r="W260" i="1"/>
  <c r="X260" i="1"/>
  <c r="V261" i="1"/>
  <c r="W261" i="1"/>
  <c r="X261" i="1"/>
  <c r="V262" i="1"/>
  <c r="W262" i="1"/>
  <c r="X262" i="1"/>
  <c r="V263" i="1"/>
  <c r="W263" i="1"/>
  <c r="X263" i="1"/>
  <c r="V264" i="1"/>
  <c r="W264" i="1"/>
  <c r="X264" i="1"/>
  <c r="V265" i="1"/>
  <c r="W265" i="1"/>
  <c r="X265" i="1"/>
  <c r="V266" i="1"/>
  <c r="W266" i="1"/>
  <c r="X266" i="1"/>
  <c r="V267" i="1"/>
  <c r="W267" i="1"/>
  <c r="X267" i="1"/>
  <c r="V268" i="1"/>
  <c r="W268" i="1"/>
  <c r="X268" i="1"/>
  <c r="V269" i="1"/>
  <c r="W269" i="1"/>
  <c r="X269" i="1"/>
  <c r="V270" i="1"/>
  <c r="W270" i="1"/>
  <c r="X270" i="1"/>
  <c r="V271" i="1"/>
  <c r="W271" i="1"/>
  <c r="X271" i="1"/>
  <c r="V272" i="1"/>
  <c r="W272" i="1"/>
  <c r="X272" i="1"/>
  <c r="V273" i="1"/>
  <c r="W273" i="1"/>
  <c r="X273" i="1"/>
  <c r="V274" i="1"/>
  <c r="W274" i="1"/>
  <c r="X274" i="1"/>
  <c r="V275" i="1"/>
  <c r="W275" i="1"/>
  <c r="X275" i="1"/>
  <c r="V276" i="1"/>
  <c r="W276" i="1"/>
  <c r="X276" i="1"/>
  <c r="V277" i="1"/>
  <c r="W277" i="1"/>
  <c r="X277" i="1"/>
  <c r="V278" i="1"/>
  <c r="W278" i="1"/>
  <c r="X278" i="1"/>
  <c r="V279" i="1"/>
  <c r="W279" i="1"/>
  <c r="X279" i="1"/>
  <c r="V280" i="1"/>
  <c r="W280" i="1"/>
  <c r="X280" i="1"/>
  <c r="V281" i="1"/>
  <c r="W281" i="1"/>
  <c r="X281" i="1"/>
  <c r="V282" i="1"/>
  <c r="W282" i="1"/>
  <c r="X282" i="1"/>
  <c r="V283" i="1"/>
  <c r="W283" i="1"/>
  <c r="X283" i="1"/>
  <c r="V284" i="1"/>
  <c r="W284" i="1"/>
  <c r="X284" i="1"/>
  <c r="V285" i="1"/>
  <c r="W285" i="1"/>
  <c r="X285" i="1"/>
  <c r="V286" i="1"/>
  <c r="W286" i="1"/>
  <c r="X286" i="1"/>
  <c r="V287" i="1"/>
  <c r="W287" i="1"/>
  <c r="X287" i="1"/>
  <c r="V288" i="1"/>
  <c r="W288" i="1"/>
  <c r="X288" i="1"/>
  <c r="V289" i="1"/>
  <c r="W289" i="1"/>
  <c r="X289" i="1"/>
  <c r="V290" i="1"/>
  <c r="W290" i="1"/>
  <c r="X290" i="1"/>
  <c r="V291" i="1"/>
  <c r="W291" i="1"/>
  <c r="X291" i="1"/>
  <c r="V292" i="1"/>
  <c r="W292" i="1"/>
  <c r="X292" i="1"/>
  <c r="V293" i="1"/>
  <c r="W293" i="1"/>
  <c r="X293" i="1"/>
  <c r="V294" i="1"/>
  <c r="W294" i="1"/>
  <c r="X294" i="1"/>
  <c r="V295" i="1"/>
  <c r="W295" i="1"/>
  <c r="X295" i="1"/>
  <c r="V296" i="1"/>
  <c r="W296" i="1"/>
  <c r="X296" i="1"/>
  <c r="V297" i="1"/>
  <c r="W297" i="1"/>
  <c r="X297" i="1"/>
  <c r="V298" i="1"/>
  <c r="W298" i="1"/>
  <c r="X298" i="1"/>
  <c r="V299" i="1"/>
  <c r="W299" i="1"/>
  <c r="X299" i="1"/>
  <c r="V300" i="1"/>
  <c r="W300" i="1"/>
  <c r="X300" i="1"/>
  <c r="V301" i="1"/>
  <c r="W301" i="1"/>
  <c r="X301" i="1"/>
  <c r="V302" i="1"/>
  <c r="W302" i="1"/>
  <c r="X302" i="1"/>
  <c r="V303" i="1"/>
  <c r="W303" i="1"/>
  <c r="X303" i="1"/>
  <c r="V304" i="1"/>
  <c r="W304" i="1"/>
  <c r="X304" i="1"/>
  <c r="V305" i="1"/>
  <c r="W305" i="1"/>
  <c r="X305" i="1"/>
  <c r="V306" i="1"/>
  <c r="W306" i="1"/>
  <c r="X306" i="1"/>
  <c r="V307" i="1"/>
  <c r="W307" i="1"/>
  <c r="X307" i="1"/>
  <c r="V308" i="1"/>
  <c r="W308" i="1"/>
  <c r="X308" i="1"/>
  <c r="V309" i="1"/>
  <c r="W309" i="1"/>
  <c r="X309" i="1"/>
  <c r="V310" i="1"/>
  <c r="W310" i="1"/>
  <c r="X310" i="1"/>
  <c r="V311" i="1"/>
  <c r="W311" i="1"/>
  <c r="X311" i="1"/>
  <c r="V312" i="1"/>
  <c r="W312" i="1"/>
  <c r="X312" i="1"/>
  <c r="V313" i="1"/>
  <c r="W313" i="1"/>
  <c r="X313" i="1"/>
  <c r="V314" i="1"/>
  <c r="W314" i="1"/>
  <c r="X314" i="1"/>
  <c r="V315" i="1"/>
  <c r="W315" i="1"/>
  <c r="X315" i="1"/>
  <c r="V316" i="1"/>
  <c r="W316" i="1"/>
  <c r="X316" i="1"/>
  <c r="V317" i="1"/>
  <c r="W317" i="1"/>
  <c r="X317" i="1"/>
  <c r="V318" i="1"/>
  <c r="W318" i="1"/>
  <c r="X318" i="1"/>
  <c r="V319" i="1"/>
  <c r="W319" i="1"/>
  <c r="X319" i="1"/>
  <c r="V320" i="1"/>
  <c r="W320" i="1"/>
  <c r="X320" i="1"/>
  <c r="V321" i="1"/>
  <c r="W321" i="1"/>
  <c r="X321" i="1"/>
  <c r="V322" i="1"/>
  <c r="W322" i="1"/>
  <c r="X322" i="1"/>
  <c r="V323" i="1"/>
  <c r="W323" i="1"/>
  <c r="X323" i="1"/>
  <c r="V324" i="1"/>
  <c r="W324" i="1"/>
  <c r="X324" i="1"/>
  <c r="V325" i="1"/>
  <c r="W325" i="1"/>
  <c r="X325" i="1"/>
  <c r="V326" i="1"/>
  <c r="W326" i="1"/>
  <c r="X326" i="1"/>
  <c r="V327" i="1"/>
  <c r="W327" i="1"/>
  <c r="X327" i="1"/>
  <c r="V328" i="1"/>
  <c r="W328" i="1"/>
  <c r="X328" i="1"/>
  <c r="V329" i="1"/>
  <c r="W329" i="1"/>
  <c r="X329" i="1"/>
  <c r="V330" i="1"/>
  <c r="W330" i="1"/>
  <c r="X330" i="1"/>
  <c r="V331" i="1"/>
  <c r="W331" i="1"/>
  <c r="X331" i="1"/>
  <c r="V332" i="1"/>
  <c r="W332" i="1"/>
  <c r="X332" i="1"/>
  <c r="V333" i="1"/>
  <c r="W333" i="1"/>
  <c r="X333" i="1"/>
  <c r="V334" i="1"/>
  <c r="W334" i="1"/>
  <c r="X334" i="1"/>
  <c r="V335" i="1"/>
  <c r="W335" i="1"/>
  <c r="X335" i="1"/>
  <c r="V336" i="1"/>
  <c r="W336" i="1"/>
  <c r="X336" i="1"/>
  <c r="V337" i="1"/>
  <c r="W337" i="1"/>
  <c r="X337" i="1"/>
  <c r="V338" i="1"/>
  <c r="W338" i="1"/>
  <c r="X338" i="1"/>
  <c r="V339" i="1"/>
  <c r="W339" i="1"/>
  <c r="X339" i="1"/>
  <c r="V340" i="1"/>
  <c r="W340" i="1"/>
  <c r="X340" i="1"/>
  <c r="V341" i="1"/>
  <c r="W341" i="1"/>
  <c r="X341" i="1"/>
  <c r="V342" i="1"/>
  <c r="W342" i="1"/>
  <c r="X342" i="1"/>
  <c r="V343" i="1"/>
  <c r="W343" i="1"/>
  <c r="X343" i="1"/>
  <c r="V344" i="1"/>
  <c r="W344" i="1"/>
  <c r="X344" i="1"/>
  <c r="V345" i="1"/>
  <c r="W345" i="1"/>
  <c r="X345" i="1"/>
  <c r="V346" i="1"/>
  <c r="W346" i="1"/>
  <c r="X346" i="1"/>
  <c r="V347" i="1"/>
  <c r="W347" i="1"/>
  <c r="X347" i="1"/>
  <c r="V348" i="1"/>
  <c r="W348" i="1"/>
  <c r="X348" i="1"/>
  <c r="V349" i="1"/>
  <c r="W349" i="1"/>
  <c r="X349" i="1"/>
  <c r="V350" i="1"/>
  <c r="W350" i="1"/>
  <c r="X350" i="1"/>
  <c r="V351" i="1"/>
  <c r="W351" i="1"/>
  <c r="X351" i="1"/>
  <c r="V352" i="1"/>
  <c r="W352" i="1"/>
  <c r="X352" i="1"/>
  <c r="V353" i="1"/>
  <c r="W353" i="1"/>
  <c r="X353" i="1"/>
  <c r="V354" i="1"/>
  <c r="W354" i="1"/>
  <c r="X354" i="1"/>
  <c r="V355" i="1"/>
  <c r="W355" i="1"/>
  <c r="X355" i="1"/>
  <c r="V356" i="1"/>
  <c r="W356" i="1"/>
  <c r="X356" i="1"/>
  <c r="V357" i="1"/>
  <c r="W357" i="1"/>
  <c r="X357" i="1"/>
  <c r="V358" i="1"/>
  <c r="W358" i="1"/>
  <c r="X358" i="1"/>
  <c r="V359" i="1"/>
  <c r="W359" i="1"/>
  <c r="X359" i="1"/>
  <c r="V360" i="1"/>
  <c r="W360" i="1"/>
  <c r="X360" i="1"/>
  <c r="V361" i="1"/>
  <c r="W361" i="1"/>
  <c r="X361" i="1"/>
  <c r="V362" i="1"/>
  <c r="W362" i="1"/>
  <c r="X362" i="1"/>
  <c r="V363" i="1"/>
  <c r="W363" i="1"/>
  <c r="X363" i="1"/>
  <c r="V364" i="1"/>
  <c r="W364" i="1"/>
  <c r="X364" i="1"/>
  <c r="V365" i="1"/>
  <c r="W365" i="1"/>
  <c r="X365" i="1"/>
  <c r="V366" i="1"/>
  <c r="W366" i="1"/>
  <c r="X366" i="1"/>
  <c r="V367" i="1"/>
  <c r="W367" i="1"/>
  <c r="X367" i="1"/>
  <c r="V368" i="1"/>
  <c r="W368" i="1"/>
  <c r="X368" i="1"/>
  <c r="V369" i="1"/>
  <c r="W369" i="1"/>
  <c r="X369" i="1"/>
  <c r="V370" i="1"/>
  <c r="W370" i="1"/>
  <c r="X370" i="1"/>
  <c r="V371" i="1"/>
  <c r="W371" i="1"/>
  <c r="X371" i="1"/>
  <c r="V372" i="1"/>
  <c r="W372" i="1"/>
  <c r="X372" i="1"/>
  <c r="V373" i="1"/>
  <c r="W373" i="1"/>
  <c r="X373" i="1"/>
  <c r="V374" i="1"/>
  <c r="W374" i="1"/>
  <c r="X374" i="1"/>
  <c r="V375" i="1"/>
  <c r="W375" i="1"/>
  <c r="X375" i="1"/>
  <c r="V376" i="1"/>
  <c r="W376" i="1"/>
  <c r="X376" i="1"/>
  <c r="V377" i="1"/>
  <c r="W377" i="1"/>
  <c r="X377" i="1"/>
  <c r="V378" i="1"/>
  <c r="W378" i="1"/>
  <c r="X378" i="1"/>
  <c r="V379" i="1"/>
  <c r="W379" i="1"/>
  <c r="X379" i="1"/>
  <c r="V380" i="1"/>
  <c r="W380" i="1"/>
  <c r="X380" i="1"/>
  <c r="V381" i="1"/>
  <c r="W381" i="1"/>
  <c r="X381" i="1"/>
  <c r="V382" i="1"/>
  <c r="W382" i="1"/>
  <c r="X382" i="1"/>
  <c r="V383" i="1"/>
  <c r="W383" i="1"/>
  <c r="X383" i="1"/>
  <c r="V384" i="1"/>
  <c r="W384" i="1"/>
  <c r="X384" i="1"/>
  <c r="V385" i="1"/>
  <c r="W385" i="1"/>
  <c r="X385" i="1"/>
  <c r="V386" i="1"/>
  <c r="W386" i="1"/>
  <c r="X386" i="1"/>
  <c r="V387" i="1"/>
  <c r="W387" i="1"/>
  <c r="X387" i="1"/>
  <c r="V388" i="1"/>
  <c r="W388" i="1"/>
  <c r="X388" i="1"/>
  <c r="V389" i="1"/>
  <c r="W389" i="1"/>
  <c r="X389" i="1"/>
  <c r="V390" i="1"/>
  <c r="W390" i="1"/>
  <c r="X390" i="1"/>
  <c r="V391" i="1"/>
  <c r="W391" i="1"/>
  <c r="X391" i="1"/>
  <c r="V392" i="1"/>
  <c r="W392" i="1"/>
  <c r="X392" i="1"/>
  <c r="V393" i="1"/>
  <c r="W393" i="1"/>
  <c r="X393" i="1"/>
  <c r="V394" i="1"/>
  <c r="W394" i="1"/>
  <c r="X394" i="1"/>
  <c r="V395" i="1"/>
  <c r="W395" i="1"/>
  <c r="X395" i="1"/>
  <c r="V396" i="1"/>
  <c r="W396" i="1"/>
  <c r="X396" i="1"/>
  <c r="V397" i="1"/>
  <c r="W397" i="1"/>
  <c r="X397" i="1"/>
  <c r="V398" i="1"/>
  <c r="W398" i="1"/>
  <c r="X398" i="1"/>
  <c r="V399" i="1"/>
  <c r="W399" i="1"/>
  <c r="X399" i="1"/>
  <c r="V400" i="1"/>
  <c r="W400" i="1"/>
  <c r="X400" i="1"/>
  <c r="V401" i="1"/>
  <c r="W401" i="1"/>
  <c r="X401" i="1"/>
  <c r="X2" i="1"/>
  <c r="W2" i="1"/>
  <c r="V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2" i="1"/>
  <c r="T3" i="1"/>
  <c r="T4" i="1"/>
  <c r="Y4" i="1" s="1"/>
  <c r="T5" i="1"/>
  <c r="Y5" i="1" s="1"/>
  <c r="T6" i="1"/>
  <c r="T7" i="1"/>
  <c r="T8" i="1"/>
  <c r="T9" i="1"/>
  <c r="T10" i="1"/>
  <c r="Y10" i="1" s="1"/>
  <c r="T11" i="1"/>
  <c r="T12" i="1"/>
  <c r="T13" i="1"/>
  <c r="T14" i="1"/>
  <c r="T15" i="1"/>
  <c r="Y15" i="1" s="1"/>
  <c r="T16" i="1"/>
  <c r="Y16" i="1" s="1"/>
  <c r="T17" i="1"/>
  <c r="Y17" i="1" s="1"/>
  <c r="T18" i="1"/>
  <c r="Y18" i="1" s="1"/>
  <c r="T19" i="1"/>
  <c r="T20" i="1"/>
  <c r="Y20" i="1" s="1"/>
  <c r="T21" i="1"/>
  <c r="Y21" i="1" s="1"/>
  <c r="T22" i="1"/>
  <c r="T23" i="1"/>
  <c r="T24" i="1"/>
  <c r="T25" i="1"/>
  <c r="T26" i="1"/>
  <c r="Y26" i="1" s="1"/>
  <c r="T27" i="1"/>
  <c r="T28" i="1"/>
  <c r="T29" i="1"/>
  <c r="T30" i="1"/>
  <c r="T31" i="1"/>
  <c r="T32" i="1"/>
  <c r="Y32" i="1" s="1"/>
  <c r="T33" i="1"/>
  <c r="Y33" i="1" s="1"/>
  <c r="T34" i="1"/>
  <c r="Y34" i="1" s="1"/>
  <c r="T35" i="1"/>
  <c r="T36" i="1"/>
  <c r="Y36" i="1" s="1"/>
  <c r="T37" i="1"/>
  <c r="Y37" i="1" s="1"/>
  <c r="T38" i="1"/>
  <c r="T39" i="1"/>
  <c r="T40" i="1"/>
  <c r="T41" i="1"/>
  <c r="T42" i="1"/>
  <c r="Y42" i="1" s="1"/>
  <c r="T43" i="1"/>
  <c r="T44" i="1"/>
  <c r="T45" i="1"/>
  <c r="T46" i="1"/>
  <c r="T47" i="1"/>
  <c r="Y47" i="1" s="1"/>
  <c r="T48" i="1"/>
  <c r="Y48" i="1" s="1"/>
  <c r="T49" i="1"/>
  <c r="Y49" i="1" s="1"/>
  <c r="T50" i="1"/>
  <c r="Y50" i="1" s="1"/>
  <c r="T51" i="1"/>
  <c r="T52" i="1"/>
  <c r="Y52" i="1" s="1"/>
  <c r="T53" i="1"/>
  <c r="Y53" i="1" s="1"/>
  <c r="T54" i="1"/>
  <c r="T55" i="1"/>
  <c r="T56" i="1"/>
  <c r="T57" i="1"/>
  <c r="T58" i="1"/>
  <c r="Y58" i="1" s="1"/>
  <c r="T59" i="1"/>
  <c r="T60" i="1"/>
  <c r="T61" i="1"/>
  <c r="T62" i="1"/>
  <c r="T63" i="1"/>
  <c r="Y63" i="1" s="1"/>
  <c r="T64" i="1"/>
  <c r="Y64" i="1" s="1"/>
  <c r="T65" i="1"/>
  <c r="Y65" i="1" s="1"/>
  <c r="T66" i="1"/>
  <c r="Y66" i="1" s="1"/>
  <c r="T67" i="1"/>
  <c r="T68" i="1"/>
  <c r="Y68" i="1" s="1"/>
  <c r="T69" i="1"/>
  <c r="Y69" i="1" s="1"/>
  <c r="T70" i="1"/>
  <c r="T71" i="1"/>
  <c r="T72" i="1"/>
  <c r="T73" i="1"/>
  <c r="T74" i="1"/>
  <c r="Y74" i="1" s="1"/>
  <c r="T75" i="1"/>
  <c r="T76" i="1"/>
  <c r="T77" i="1"/>
  <c r="T78" i="1"/>
  <c r="T79" i="1"/>
  <c r="Y79" i="1" s="1"/>
  <c r="T80" i="1"/>
  <c r="Y80" i="1" s="1"/>
  <c r="T81" i="1"/>
  <c r="Y81" i="1" s="1"/>
  <c r="T82" i="1"/>
  <c r="Y82" i="1" s="1"/>
  <c r="T83" i="1"/>
  <c r="T84" i="1"/>
  <c r="Y84" i="1" s="1"/>
  <c r="T85" i="1"/>
  <c r="Y85" i="1" s="1"/>
  <c r="T86" i="1"/>
  <c r="T87" i="1"/>
  <c r="T88" i="1"/>
  <c r="T89" i="1"/>
  <c r="T90" i="1"/>
  <c r="Y90" i="1" s="1"/>
  <c r="T91" i="1"/>
  <c r="T92" i="1"/>
  <c r="T93" i="1"/>
  <c r="T94" i="1"/>
  <c r="T95" i="1"/>
  <c r="Y95" i="1" s="1"/>
  <c r="T96" i="1"/>
  <c r="Y96" i="1" s="1"/>
  <c r="T97" i="1"/>
  <c r="Y97" i="1" s="1"/>
  <c r="T98" i="1"/>
  <c r="Y98" i="1" s="1"/>
  <c r="T99" i="1"/>
  <c r="T100" i="1"/>
  <c r="Y100" i="1" s="1"/>
  <c r="T101" i="1"/>
  <c r="Y101" i="1" s="1"/>
  <c r="T102" i="1"/>
  <c r="T103" i="1"/>
  <c r="T104" i="1"/>
  <c r="T105" i="1"/>
  <c r="T106" i="1"/>
  <c r="Y106" i="1" s="1"/>
  <c r="T107" i="1"/>
  <c r="T108" i="1"/>
  <c r="T109" i="1"/>
  <c r="T110" i="1"/>
  <c r="T111" i="1"/>
  <c r="Y111" i="1" s="1"/>
  <c r="T112" i="1"/>
  <c r="Y112" i="1" s="1"/>
  <c r="T113" i="1"/>
  <c r="Y113" i="1" s="1"/>
  <c r="T114" i="1"/>
  <c r="Y114" i="1" s="1"/>
  <c r="T115" i="1"/>
  <c r="T116" i="1"/>
  <c r="T117" i="1"/>
  <c r="Y117" i="1" s="1"/>
  <c r="T118" i="1"/>
  <c r="T119" i="1"/>
  <c r="T120" i="1"/>
  <c r="T121" i="1"/>
  <c r="T122" i="1"/>
  <c r="Y122" i="1" s="1"/>
  <c r="T123" i="1"/>
  <c r="T124" i="1"/>
  <c r="T125" i="1"/>
  <c r="T126" i="1"/>
  <c r="T127" i="1"/>
  <c r="Y127" i="1" s="1"/>
  <c r="T128" i="1"/>
  <c r="Y128" i="1" s="1"/>
  <c r="T129" i="1"/>
  <c r="Y129" i="1" s="1"/>
  <c r="T130" i="1"/>
  <c r="Y130" i="1" s="1"/>
  <c r="T131" i="1"/>
  <c r="T132" i="1"/>
  <c r="Y132" i="1" s="1"/>
  <c r="T133" i="1"/>
  <c r="Y133" i="1" s="1"/>
  <c r="T134" i="1"/>
  <c r="T135" i="1"/>
  <c r="T136" i="1"/>
  <c r="T137" i="1"/>
  <c r="T138" i="1"/>
  <c r="Y138" i="1" s="1"/>
  <c r="T139" i="1"/>
  <c r="T140" i="1"/>
  <c r="T141" i="1"/>
  <c r="T142" i="1"/>
  <c r="T143" i="1"/>
  <c r="Y143" i="1" s="1"/>
  <c r="T144" i="1"/>
  <c r="Y144" i="1" s="1"/>
  <c r="T145" i="1"/>
  <c r="Y145" i="1" s="1"/>
  <c r="T146" i="1"/>
  <c r="Y146" i="1" s="1"/>
  <c r="T147" i="1"/>
  <c r="T148" i="1"/>
  <c r="Y148" i="1" s="1"/>
  <c r="T149" i="1"/>
  <c r="T150" i="1"/>
  <c r="T151" i="1"/>
  <c r="T152" i="1"/>
  <c r="T153" i="1"/>
  <c r="T154" i="1"/>
  <c r="Y154" i="1" s="1"/>
  <c r="T155" i="1"/>
  <c r="T156" i="1"/>
  <c r="T157" i="1"/>
  <c r="T158" i="1"/>
  <c r="T159" i="1"/>
  <c r="Y159" i="1" s="1"/>
  <c r="T160" i="1"/>
  <c r="Y160" i="1" s="1"/>
  <c r="T161" i="1"/>
  <c r="Z161" i="1" s="1"/>
  <c r="T162" i="1"/>
  <c r="Y162" i="1" s="1"/>
  <c r="T163" i="1"/>
  <c r="T164" i="1"/>
  <c r="Y164" i="1" s="1"/>
  <c r="T165" i="1"/>
  <c r="Y165" i="1" s="1"/>
  <c r="T166" i="1"/>
  <c r="T167" i="1"/>
  <c r="T168" i="1"/>
  <c r="T169" i="1"/>
  <c r="T170" i="1"/>
  <c r="Y170" i="1" s="1"/>
  <c r="T171" i="1"/>
  <c r="T172" i="1"/>
  <c r="T173" i="1"/>
  <c r="T174" i="1"/>
  <c r="T175" i="1"/>
  <c r="Y175" i="1" s="1"/>
  <c r="T176" i="1"/>
  <c r="Y176" i="1" s="1"/>
  <c r="T177" i="1"/>
  <c r="Y177" i="1" s="1"/>
  <c r="T178" i="1"/>
  <c r="Y178" i="1" s="1"/>
  <c r="T179" i="1"/>
  <c r="T180" i="1"/>
  <c r="Y180" i="1" s="1"/>
  <c r="T181" i="1"/>
  <c r="Y181" i="1" s="1"/>
  <c r="T182" i="1"/>
  <c r="T183" i="1"/>
  <c r="T184" i="1"/>
  <c r="T185" i="1"/>
  <c r="T186" i="1"/>
  <c r="Y186" i="1" s="1"/>
  <c r="T187" i="1"/>
  <c r="T188" i="1"/>
  <c r="T189" i="1"/>
  <c r="T190" i="1"/>
  <c r="T191" i="1"/>
  <c r="Y191" i="1" s="1"/>
  <c r="T192" i="1"/>
  <c r="T193" i="1"/>
  <c r="Y193" i="1" s="1"/>
  <c r="T194" i="1"/>
  <c r="Y194" i="1" s="1"/>
  <c r="T195" i="1"/>
  <c r="T196" i="1"/>
  <c r="Y196" i="1" s="1"/>
  <c r="T197" i="1"/>
  <c r="Y197" i="1" s="1"/>
  <c r="T198" i="1"/>
  <c r="T199" i="1"/>
  <c r="T200" i="1"/>
  <c r="T201" i="1"/>
  <c r="T202" i="1"/>
  <c r="Y202" i="1" s="1"/>
  <c r="T203" i="1"/>
  <c r="T204" i="1"/>
  <c r="T205" i="1"/>
  <c r="T206" i="1"/>
  <c r="T207" i="1"/>
  <c r="Y207" i="1" s="1"/>
  <c r="T208" i="1"/>
  <c r="Y208" i="1" s="1"/>
  <c r="T209" i="1"/>
  <c r="Y209" i="1" s="1"/>
  <c r="T210" i="1"/>
  <c r="Y210" i="1" s="1"/>
  <c r="T211" i="1"/>
  <c r="T212" i="1"/>
  <c r="Y212" i="1" s="1"/>
  <c r="T213" i="1"/>
  <c r="Y213" i="1" s="1"/>
  <c r="T214" i="1"/>
  <c r="T215" i="1"/>
  <c r="T216" i="1"/>
  <c r="T217" i="1"/>
  <c r="T218" i="1"/>
  <c r="Y218" i="1" s="1"/>
  <c r="T219" i="1"/>
  <c r="T220" i="1"/>
  <c r="T221" i="1"/>
  <c r="T222" i="1"/>
  <c r="T223" i="1"/>
  <c r="Y223" i="1" s="1"/>
  <c r="T224" i="1"/>
  <c r="Y224" i="1" s="1"/>
  <c r="T225" i="1"/>
  <c r="Y225" i="1" s="1"/>
  <c r="T226" i="1"/>
  <c r="Y226" i="1" s="1"/>
  <c r="T227" i="1"/>
  <c r="T228" i="1"/>
  <c r="Y228" i="1" s="1"/>
  <c r="T229" i="1"/>
  <c r="Y229" i="1" s="1"/>
  <c r="T230" i="1"/>
  <c r="T231" i="1"/>
  <c r="T232" i="1"/>
  <c r="T233" i="1"/>
  <c r="T234" i="1"/>
  <c r="Y234" i="1" s="1"/>
  <c r="T235" i="1"/>
  <c r="T236" i="1"/>
  <c r="T237" i="1"/>
  <c r="T238" i="1"/>
  <c r="T239" i="1"/>
  <c r="Y239" i="1" s="1"/>
  <c r="T240" i="1"/>
  <c r="Y240" i="1" s="1"/>
  <c r="T241" i="1"/>
  <c r="Y241" i="1" s="1"/>
  <c r="T242" i="1"/>
  <c r="T243" i="1"/>
  <c r="T244" i="1"/>
  <c r="Y244" i="1" s="1"/>
  <c r="T245" i="1"/>
  <c r="Y245" i="1" s="1"/>
  <c r="T246" i="1"/>
  <c r="T247" i="1"/>
  <c r="T248" i="1"/>
  <c r="T249" i="1"/>
  <c r="T250" i="1"/>
  <c r="Y250" i="1" s="1"/>
  <c r="T251" i="1"/>
  <c r="T252" i="1"/>
  <c r="T253" i="1"/>
  <c r="T254" i="1"/>
  <c r="T255" i="1"/>
  <c r="Y255" i="1" s="1"/>
  <c r="T256" i="1"/>
  <c r="Y256" i="1" s="1"/>
  <c r="T257" i="1"/>
  <c r="Y257" i="1" s="1"/>
  <c r="T258" i="1"/>
  <c r="Y258" i="1" s="1"/>
  <c r="T259" i="1"/>
  <c r="T260" i="1"/>
  <c r="Y260" i="1" s="1"/>
  <c r="T261" i="1"/>
  <c r="Y261" i="1" s="1"/>
  <c r="T262" i="1"/>
  <c r="T263" i="1"/>
  <c r="T264" i="1"/>
  <c r="T265" i="1"/>
  <c r="T266" i="1"/>
  <c r="Y266" i="1" s="1"/>
  <c r="T267" i="1"/>
  <c r="T268" i="1"/>
  <c r="T269" i="1"/>
  <c r="T270" i="1"/>
  <c r="T271" i="1"/>
  <c r="Y271" i="1" s="1"/>
  <c r="T272" i="1"/>
  <c r="Y272" i="1" s="1"/>
  <c r="T273" i="1"/>
  <c r="Y273" i="1" s="1"/>
  <c r="T274" i="1"/>
  <c r="Y274" i="1" s="1"/>
  <c r="T275" i="1"/>
  <c r="T276" i="1"/>
  <c r="Y276" i="1" s="1"/>
  <c r="T277" i="1"/>
  <c r="Y277" i="1" s="1"/>
  <c r="T278" i="1"/>
  <c r="T279" i="1"/>
  <c r="T280" i="1"/>
  <c r="T281" i="1"/>
  <c r="T282" i="1"/>
  <c r="Y282" i="1" s="1"/>
  <c r="T283" i="1"/>
  <c r="T284" i="1"/>
  <c r="T285" i="1"/>
  <c r="T286" i="1"/>
  <c r="T287" i="1"/>
  <c r="Y287" i="1" s="1"/>
  <c r="T288" i="1"/>
  <c r="Y288" i="1" s="1"/>
  <c r="T289" i="1"/>
  <c r="Y289" i="1" s="1"/>
  <c r="T290" i="1"/>
  <c r="Y290" i="1" s="1"/>
  <c r="T291" i="1"/>
  <c r="T292" i="1"/>
  <c r="Y292" i="1" s="1"/>
  <c r="T293" i="1"/>
  <c r="Y293" i="1" s="1"/>
  <c r="T294" i="1"/>
  <c r="T295" i="1"/>
  <c r="T296" i="1"/>
  <c r="T297" i="1"/>
  <c r="T298" i="1"/>
  <c r="Y298" i="1" s="1"/>
  <c r="T299" i="1"/>
  <c r="T300" i="1"/>
  <c r="T301" i="1"/>
  <c r="T302" i="1"/>
  <c r="T303" i="1"/>
  <c r="Y303" i="1" s="1"/>
  <c r="T304" i="1"/>
  <c r="Y304" i="1" s="1"/>
  <c r="T305" i="1"/>
  <c r="Y305" i="1" s="1"/>
  <c r="T306" i="1"/>
  <c r="Y306" i="1" s="1"/>
  <c r="T307" i="1"/>
  <c r="T308" i="1"/>
  <c r="Y308" i="1" s="1"/>
  <c r="T309" i="1"/>
  <c r="Y309" i="1" s="1"/>
  <c r="T310" i="1"/>
  <c r="T311" i="1"/>
  <c r="T312" i="1"/>
  <c r="T313" i="1"/>
  <c r="T314" i="1"/>
  <c r="Y314" i="1" s="1"/>
  <c r="T315" i="1"/>
  <c r="T316" i="1"/>
  <c r="T317" i="1"/>
  <c r="T318" i="1"/>
  <c r="T319" i="1"/>
  <c r="Y319" i="1" s="1"/>
  <c r="T320" i="1"/>
  <c r="Y320" i="1" s="1"/>
  <c r="T321" i="1"/>
  <c r="Y321" i="1" s="1"/>
  <c r="T322" i="1"/>
  <c r="Y322" i="1" s="1"/>
  <c r="T323" i="1"/>
  <c r="T324" i="1"/>
  <c r="Y324" i="1" s="1"/>
  <c r="T325" i="1"/>
  <c r="Y325" i="1" s="1"/>
  <c r="T326" i="1"/>
  <c r="T327" i="1"/>
  <c r="T328" i="1"/>
  <c r="T329" i="1"/>
  <c r="T330" i="1"/>
  <c r="Y330" i="1" s="1"/>
  <c r="T331" i="1"/>
  <c r="T332" i="1"/>
  <c r="T333" i="1"/>
  <c r="T334" i="1"/>
  <c r="T335" i="1"/>
  <c r="Y335" i="1" s="1"/>
  <c r="T336" i="1"/>
  <c r="Y336" i="1" s="1"/>
  <c r="T337" i="1"/>
  <c r="Y337" i="1" s="1"/>
  <c r="T338" i="1"/>
  <c r="Y338" i="1" s="1"/>
  <c r="T339" i="1"/>
  <c r="T340" i="1"/>
  <c r="Y340" i="1" s="1"/>
  <c r="T341" i="1"/>
  <c r="Y341" i="1" s="1"/>
  <c r="T342" i="1"/>
  <c r="T343" i="1"/>
  <c r="T344" i="1"/>
  <c r="T345" i="1"/>
  <c r="T346" i="1"/>
  <c r="Y346" i="1" s="1"/>
  <c r="T347" i="1"/>
  <c r="T348" i="1"/>
  <c r="T349" i="1"/>
  <c r="T350" i="1"/>
  <c r="T351" i="1"/>
  <c r="Y351" i="1" s="1"/>
  <c r="T352" i="1"/>
  <c r="Y352" i="1" s="1"/>
  <c r="T353" i="1"/>
  <c r="Y353" i="1" s="1"/>
  <c r="T354" i="1"/>
  <c r="Y354" i="1" s="1"/>
  <c r="T355" i="1"/>
  <c r="T356" i="1"/>
  <c r="Y356" i="1" s="1"/>
  <c r="T357" i="1"/>
  <c r="Y357" i="1" s="1"/>
  <c r="T358" i="1"/>
  <c r="T359" i="1"/>
  <c r="T360" i="1"/>
  <c r="T361" i="1"/>
  <c r="T362" i="1"/>
  <c r="Y362" i="1" s="1"/>
  <c r="T363" i="1"/>
  <c r="T364" i="1"/>
  <c r="T365" i="1"/>
  <c r="T366" i="1"/>
  <c r="T367" i="1"/>
  <c r="Y367" i="1" s="1"/>
  <c r="T368" i="1"/>
  <c r="Y368" i="1" s="1"/>
  <c r="T369" i="1"/>
  <c r="Y369" i="1" s="1"/>
  <c r="T370" i="1"/>
  <c r="Y370" i="1" s="1"/>
  <c r="T371" i="1"/>
  <c r="T372" i="1"/>
  <c r="Y372" i="1" s="1"/>
  <c r="T373" i="1"/>
  <c r="Y373" i="1" s="1"/>
  <c r="T374" i="1"/>
  <c r="T375" i="1"/>
  <c r="T376" i="1"/>
  <c r="T377" i="1"/>
  <c r="T378" i="1"/>
  <c r="Y378" i="1" s="1"/>
  <c r="T379" i="1"/>
  <c r="T380" i="1"/>
  <c r="T381" i="1"/>
  <c r="T382" i="1"/>
  <c r="T383" i="1"/>
  <c r="Y383" i="1" s="1"/>
  <c r="T384" i="1"/>
  <c r="Y384" i="1" s="1"/>
  <c r="T385" i="1"/>
  <c r="Y385" i="1" s="1"/>
  <c r="T386" i="1"/>
  <c r="Y386" i="1" s="1"/>
  <c r="T387" i="1"/>
  <c r="T388" i="1"/>
  <c r="Y388" i="1" s="1"/>
  <c r="T389" i="1"/>
  <c r="Y389" i="1" s="1"/>
  <c r="T390" i="1"/>
  <c r="T391" i="1"/>
  <c r="T392" i="1"/>
  <c r="T393" i="1"/>
  <c r="T394" i="1"/>
  <c r="Y394" i="1" s="1"/>
  <c r="T395" i="1"/>
  <c r="T396" i="1"/>
  <c r="T397" i="1"/>
  <c r="T398" i="1"/>
  <c r="T399" i="1"/>
  <c r="Y399" i="1" s="1"/>
  <c r="T400" i="1"/>
  <c r="Y400" i="1" s="1"/>
  <c r="T401" i="1"/>
  <c r="Y401" i="1" s="1"/>
  <c r="T2" i="1"/>
  <c r="Y2" i="1" s="1"/>
  <c r="Z306" i="1" l="1"/>
  <c r="Z395" i="1"/>
  <c r="Z320" i="1"/>
  <c r="Z380" i="1"/>
  <c r="Z120" i="1"/>
  <c r="Z334" i="1"/>
  <c r="Z304" i="1"/>
  <c r="Z169" i="1"/>
  <c r="Z289" i="1"/>
  <c r="Z29" i="1"/>
  <c r="Y339" i="1"/>
  <c r="Y253" i="1"/>
  <c r="Y92" i="1"/>
  <c r="Z144" i="1"/>
  <c r="Y254" i="1"/>
  <c r="Y140" i="1"/>
  <c r="Y171" i="1"/>
  <c r="Y371" i="1"/>
  <c r="Y275" i="1"/>
  <c r="Y211" i="1"/>
  <c r="Y147" i="1"/>
  <c r="Y51" i="1"/>
  <c r="Z401" i="1"/>
  <c r="Y366" i="1"/>
  <c r="Y286" i="1"/>
  <c r="Y174" i="1"/>
  <c r="Y94" i="1"/>
  <c r="Y14" i="1"/>
  <c r="Y397" i="1"/>
  <c r="Y301" i="1"/>
  <c r="Y205" i="1"/>
  <c r="Y125" i="1"/>
  <c r="Y13" i="1"/>
  <c r="Y348" i="1"/>
  <c r="Y252" i="1"/>
  <c r="Y188" i="1"/>
  <c r="Y76" i="1"/>
  <c r="Y299" i="1"/>
  <c r="Y203" i="1"/>
  <c r="Y107" i="1"/>
  <c r="Y11" i="1"/>
  <c r="Y355" i="1"/>
  <c r="Y259" i="1"/>
  <c r="Y163" i="1"/>
  <c r="Y83" i="1"/>
  <c r="Y3" i="1"/>
  <c r="Y31" i="1"/>
  <c r="Y334" i="1"/>
  <c r="Y238" i="1"/>
  <c r="Y158" i="1"/>
  <c r="Y78" i="1"/>
  <c r="Z110" i="1"/>
  <c r="Y365" i="1"/>
  <c r="Y285" i="1"/>
  <c r="Y189" i="1"/>
  <c r="Y93" i="1"/>
  <c r="Y29" i="1"/>
  <c r="Y364" i="1"/>
  <c r="Y268" i="1"/>
  <c r="Y172" i="1"/>
  <c r="Y44" i="1"/>
  <c r="Y347" i="1"/>
  <c r="Y251" i="1"/>
  <c r="Y139" i="1"/>
  <c r="Y59" i="1"/>
  <c r="Y377" i="1"/>
  <c r="Y361" i="1"/>
  <c r="Y345" i="1"/>
  <c r="Y329" i="1"/>
  <c r="Y313" i="1"/>
  <c r="Y297" i="1"/>
  <c r="Y281" i="1"/>
  <c r="Y265" i="1"/>
  <c r="Y249" i="1"/>
  <c r="Y233" i="1"/>
  <c r="Y217" i="1"/>
  <c r="Y201" i="1"/>
  <c r="Y185" i="1"/>
  <c r="Y169" i="1"/>
  <c r="Y153" i="1"/>
  <c r="Y137" i="1"/>
  <c r="Y121" i="1"/>
  <c r="Y105" i="1"/>
  <c r="Y89" i="1"/>
  <c r="Y73" i="1"/>
  <c r="Y57" i="1"/>
  <c r="Y41" i="1"/>
  <c r="Y25" i="1"/>
  <c r="Y9" i="1"/>
  <c r="Z178" i="1"/>
  <c r="Y116" i="1"/>
  <c r="Y387" i="1"/>
  <c r="Y323" i="1"/>
  <c r="Y243" i="1"/>
  <c r="Y179" i="1"/>
  <c r="Y131" i="1"/>
  <c r="Y67" i="1"/>
  <c r="Y161" i="1"/>
  <c r="Z241" i="1"/>
  <c r="Z17" i="1"/>
  <c r="Y192" i="1"/>
  <c r="Z256" i="1"/>
  <c r="Z340" i="1"/>
  <c r="Z372" i="1"/>
  <c r="Y350" i="1"/>
  <c r="Y270" i="1"/>
  <c r="Y190" i="1"/>
  <c r="Y126" i="1"/>
  <c r="Y62" i="1"/>
  <c r="Z100" i="1"/>
  <c r="Y381" i="1"/>
  <c r="Y317" i="1"/>
  <c r="Y237" i="1"/>
  <c r="Y173" i="1"/>
  <c r="Y109" i="1"/>
  <c r="Y45" i="1"/>
  <c r="Y380" i="1"/>
  <c r="Y332" i="1"/>
  <c r="Y284" i="1"/>
  <c r="Y204" i="1"/>
  <c r="Y108" i="1"/>
  <c r="Y12" i="1"/>
  <c r="Y395" i="1"/>
  <c r="Y331" i="1"/>
  <c r="Y267" i="1"/>
  <c r="Y187" i="1"/>
  <c r="Y91" i="1"/>
  <c r="Y27" i="1"/>
  <c r="Y393" i="1"/>
  <c r="Y392" i="1"/>
  <c r="Y376" i="1"/>
  <c r="Y360" i="1"/>
  <c r="Y344" i="1"/>
  <c r="Y328" i="1"/>
  <c r="Y312" i="1"/>
  <c r="Y296" i="1"/>
  <c r="Y280" i="1"/>
  <c r="Y264" i="1"/>
  <c r="Y248" i="1"/>
  <c r="Y232" i="1"/>
  <c r="Y216" i="1"/>
  <c r="Y200" i="1"/>
  <c r="Y184" i="1"/>
  <c r="Y168" i="1"/>
  <c r="Y152" i="1"/>
  <c r="Y136" i="1"/>
  <c r="Y120" i="1"/>
  <c r="Y104" i="1"/>
  <c r="Y72" i="1"/>
  <c r="Y56" i="1"/>
  <c r="Y40" i="1"/>
  <c r="Y24" i="1"/>
  <c r="Y8" i="1"/>
  <c r="Z233" i="1"/>
  <c r="Z5" i="1"/>
  <c r="Y291" i="1"/>
  <c r="Y195" i="1"/>
  <c r="Y99" i="1"/>
  <c r="Y19" i="1"/>
  <c r="Y88" i="1"/>
  <c r="Y398" i="1"/>
  <c r="Y318" i="1"/>
  <c r="Y222" i="1"/>
  <c r="Y142" i="1"/>
  <c r="Y46" i="1"/>
  <c r="Y349" i="1"/>
  <c r="Y269" i="1"/>
  <c r="Y157" i="1"/>
  <c r="Y61" i="1"/>
  <c r="Y396" i="1"/>
  <c r="Y300" i="1"/>
  <c r="Y220" i="1"/>
  <c r="Y124" i="1"/>
  <c r="Y28" i="1"/>
  <c r="Y379" i="1"/>
  <c r="Y315" i="1"/>
  <c r="Y235" i="1"/>
  <c r="Y155" i="1"/>
  <c r="Y75" i="1"/>
  <c r="Y391" i="1"/>
  <c r="Y375" i="1"/>
  <c r="Y359" i="1"/>
  <c r="Y343" i="1"/>
  <c r="Y327" i="1"/>
  <c r="Y311" i="1"/>
  <c r="Y295" i="1"/>
  <c r="Y279" i="1"/>
  <c r="Y263" i="1"/>
  <c r="Y247" i="1"/>
  <c r="Y231" i="1"/>
  <c r="Y215" i="1"/>
  <c r="Y199" i="1"/>
  <c r="Y183" i="1"/>
  <c r="Y167" i="1"/>
  <c r="Y151" i="1"/>
  <c r="Y135" i="1"/>
  <c r="Y119" i="1"/>
  <c r="Y103" i="1"/>
  <c r="Y87" i="1"/>
  <c r="Y71" i="1"/>
  <c r="Y55" i="1"/>
  <c r="Y39" i="1"/>
  <c r="Y23" i="1"/>
  <c r="Y7" i="1"/>
  <c r="Z250" i="1"/>
  <c r="Y149" i="1"/>
  <c r="Y307" i="1"/>
  <c r="Y227" i="1"/>
  <c r="Y115" i="1"/>
  <c r="Y35" i="1"/>
  <c r="Y242" i="1"/>
  <c r="Y382" i="1"/>
  <c r="Y302" i="1"/>
  <c r="Y206" i="1"/>
  <c r="Y110" i="1"/>
  <c r="Y30" i="1"/>
  <c r="Y333" i="1"/>
  <c r="Y221" i="1"/>
  <c r="Y141" i="1"/>
  <c r="Y77" i="1"/>
  <c r="Y316" i="1"/>
  <c r="Y236" i="1"/>
  <c r="Y156" i="1"/>
  <c r="Y60" i="1"/>
  <c r="Y363" i="1"/>
  <c r="Y283" i="1"/>
  <c r="Y219" i="1"/>
  <c r="Y123" i="1"/>
  <c r="Y43" i="1"/>
  <c r="Y390" i="1"/>
  <c r="Y374" i="1"/>
  <c r="Y358" i="1"/>
  <c r="Y342" i="1"/>
  <c r="Y326" i="1"/>
  <c r="Y310" i="1"/>
  <c r="Y294" i="1"/>
  <c r="Y278" i="1"/>
  <c r="Y262" i="1"/>
  <c r="Y246" i="1"/>
  <c r="Y230" i="1"/>
  <c r="Y214" i="1"/>
  <c r="Y198" i="1"/>
  <c r="Y182" i="1"/>
  <c r="Y166" i="1"/>
  <c r="Y150" i="1"/>
  <c r="Y134" i="1"/>
  <c r="Y118" i="1"/>
  <c r="Y102" i="1"/>
  <c r="Y86" i="1"/>
  <c r="Y70" i="1"/>
  <c r="Y54" i="1"/>
  <c r="Y38" i="1"/>
  <c r="Y22" i="1"/>
  <c r="Y6" i="1"/>
  <c r="Z278" i="1"/>
</calcChain>
</file>

<file path=xl/sharedStrings.xml><?xml version="1.0" encoding="utf-8"?>
<sst xmlns="http://schemas.openxmlformats.org/spreadsheetml/2006/main" count="1226" uniqueCount="766">
  <si>
    <t>Index</t>
  </si>
  <si>
    <t>Hogwarts House</t>
  </si>
  <si>
    <t>First Name</t>
  </si>
  <si>
    <t>Last Name</t>
  </si>
  <si>
    <t>Birthday</t>
  </si>
  <si>
    <t>Best Hand</t>
  </si>
  <si>
    <t>Arithmancy</t>
  </si>
  <si>
    <t>Astronomy</t>
  </si>
  <si>
    <t>Herbology</t>
  </si>
  <si>
    <t>Defense Against the Dark Arts</t>
  </si>
  <si>
    <t>Divination</t>
  </si>
  <si>
    <t>Muggle Studies</t>
  </si>
  <si>
    <t>Ancient Runes</t>
  </si>
  <si>
    <t>History of Magic</t>
  </si>
  <si>
    <t>Transfiguration</t>
  </si>
  <si>
    <t>Potions</t>
  </si>
  <si>
    <t>Care of Magical Creatures</t>
  </si>
  <si>
    <t>Charms</t>
  </si>
  <si>
    <t>Flying</t>
  </si>
  <si>
    <t>Rico</t>
  </si>
  <si>
    <t>Sargent</t>
  </si>
  <si>
    <t>Right</t>
  </si>
  <si>
    <t>Tamara</t>
  </si>
  <si>
    <t>Shackelford</t>
  </si>
  <si>
    <t>Left</t>
  </si>
  <si>
    <t>Staci</t>
  </si>
  <si>
    <t>Crandall</t>
  </si>
  <si>
    <t>Dee</t>
  </si>
  <si>
    <t>Gavin</t>
  </si>
  <si>
    <t>Gregory</t>
  </si>
  <si>
    <t>Gustafson</t>
  </si>
  <si>
    <t>Katharine</t>
  </si>
  <si>
    <t>Ebert</t>
  </si>
  <si>
    <t>Elizebeth</t>
  </si>
  <si>
    <t>Clemens</t>
  </si>
  <si>
    <t>Santo</t>
  </si>
  <si>
    <t>Simonson</t>
  </si>
  <si>
    <t>Rosalyn</t>
  </si>
  <si>
    <t>Gee</t>
  </si>
  <si>
    <t>Karen</t>
  </si>
  <si>
    <t>Skaggs</t>
  </si>
  <si>
    <t>Mollie</t>
  </si>
  <si>
    <t>Donohue</t>
  </si>
  <si>
    <t>Filiberto</t>
  </si>
  <si>
    <t>Beebe</t>
  </si>
  <si>
    <t>Carmen</t>
  </si>
  <si>
    <t>Washington</t>
  </si>
  <si>
    <t>Milford</t>
  </si>
  <si>
    <t>Bader</t>
  </si>
  <si>
    <t>Nathanael</t>
  </si>
  <si>
    <t>Holland</t>
  </si>
  <si>
    <t>Nilda</t>
  </si>
  <si>
    <t>Peyton</t>
  </si>
  <si>
    <t>Tasha</t>
  </si>
  <si>
    <t>Lyons</t>
  </si>
  <si>
    <t>Briana</t>
  </si>
  <si>
    <t>Diamond</t>
  </si>
  <si>
    <t>Belle</t>
  </si>
  <si>
    <t>Jasper</t>
  </si>
  <si>
    <t>Hanson</t>
  </si>
  <si>
    <t>Devin</t>
  </si>
  <si>
    <t>Velasco</t>
  </si>
  <si>
    <t>Tami</t>
  </si>
  <si>
    <t>Preston</t>
  </si>
  <si>
    <t>Brook</t>
  </si>
  <si>
    <t>Zapata</t>
  </si>
  <si>
    <t>Allan</t>
  </si>
  <si>
    <t>Mcdade</t>
  </si>
  <si>
    <t>Colin</t>
  </si>
  <si>
    <t>Rouse</t>
  </si>
  <si>
    <t>Olin</t>
  </si>
  <si>
    <t>Schumacher</t>
  </si>
  <si>
    <t>Freddy</t>
  </si>
  <si>
    <t>Jernigan</t>
  </si>
  <si>
    <t>Kristal</t>
  </si>
  <si>
    <t>Beck</t>
  </si>
  <si>
    <t>Magdalena</t>
  </si>
  <si>
    <t>English</t>
  </si>
  <si>
    <t>Lemuel</t>
  </si>
  <si>
    <t>Huddleston</t>
  </si>
  <si>
    <t>Ariana</t>
  </si>
  <si>
    <t>Legg</t>
  </si>
  <si>
    <t>Ben</t>
  </si>
  <si>
    <t>Hughey</t>
  </si>
  <si>
    <t>Paulette</t>
  </si>
  <si>
    <t>Weeks</t>
  </si>
  <si>
    <t>Angeline</t>
  </si>
  <si>
    <t>Wimberly</t>
  </si>
  <si>
    <t>Meagan</t>
  </si>
  <si>
    <t>Romeo</t>
  </si>
  <si>
    <t>Agustin</t>
  </si>
  <si>
    <t>Hibbard</t>
  </si>
  <si>
    <t>Sherwood</t>
  </si>
  <si>
    <t>Dickerson</t>
  </si>
  <si>
    <t>Oma</t>
  </si>
  <si>
    <t>Tomlinson</t>
  </si>
  <si>
    <t>Summer</t>
  </si>
  <si>
    <t>Motley</t>
  </si>
  <si>
    <t>Cathryn</t>
  </si>
  <si>
    <t>Jackman</t>
  </si>
  <si>
    <t>Suzanne</t>
  </si>
  <si>
    <t>Marvin</t>
  </si>
  <si>
    <t>Jeannine</t>
  </si>
  <si>
    <t>Hopson</t>
  </si>
  <si>
    <t>Felton</t>
  </si>
  <si>
    <t>Ayers</t>
  </si>
  <si>
    <t>Denise</t>
  </si>
  <si>
    <t>Fryer</t>
  </si>
  <si>
    <t>Eldon</t>
  </si>
  <si>
    <t>Freedman</t>
  </si>
  <si>
    <t>Natalia</t>
  </si>
  <si>
    <t>Bergman</t>
  </si>
  <si>
    <t>Mei</t>
  </si>
  <si>
    <t>Dunlap</t>
  </si>
  <si>
    <t>Dorsey</t>
  </si>
  <si>
    <t>Milton</t>
  </si>
  <si>
    <t>Charla</t>
  </si>
  <si>
    <t>Doss</t>
  </si>
  <si>
    <t>Augustus</t>
  </si>
  <si>
    <t>Tobias</t>
  </si>
  <si>
    <t>Dominic</t>
  </si>
  <si>
    <t>Gregg</t>
  </si>
  <si>
    <t>Rudolph</t>
  </si>
  <si>
    <t>Isbell</t>
  </si>
  <si>
    <t>Shirley</t>
  </si>
  <si>
    <t>Whiteman</t>
  </si>
  <si>
    <t>Les</t>
  </si>
  <si>
    <t>Tribble</t>
  </si>
  <si>
    <t>Hong</t>
  </si>
  <si>
    <t>Cady</t>
  </si>
  <si>
    <t>Normand</t>
  </si>
  <si>
    <t>Wallace</t>
  </si>
  <si>
    <t>Darrell</t>
  </si>
  <si>
    <t>Brandon</t>
  </si>
  <si>
    <t>Fine</t>
  </si>
  <si>
    <t>Shannon</t>
  </si>
  <si>
    <t>Reddy</t>
  </si>
  <si>
    <t>Jeramy</t>
  </si>
  <si>
    <t>Herrera</t>
  </si>
  <si>
    <t>Andrew</t>
  </si>
  <si>
    <t>Lauer</t>
  </si>
  <si>
    <t>Ericka</t>
  </si>
  <si>
    <t>Carlson</t>
  </si>
  <si>
    <t>Yesenia</t>
  </si>
  <si>
    <t>Wentworth</t>
  </si>
  <si>
    <t>Deanna</t>
  </si>
  <si>
    <t>Melendez</t>
  </si>
  <si>
    <t>Bettye</t>
  </si>
  <si>
    <t>Villasenor</t>
  </si>
  <si>
    <t>Melissa</t>
  </si>
  <si>
    <t>Martindale</t>
  </si>
  <si>
    <t>Elia</t>
  </si>
  <si>
    <t>Ornelas</t>
  </si>
  <si>
    <t>Dewitt</t>
  </si>
  <si>
    <t>Geary</t>
  </si>
  <si>
    <t>Kathy</t>
  </si>
  <si>
    <t>Thibodeaux</t>
  </si>
  <si>
    <t>Taylor</t>
  </si>
  <si>
    <t>Yarbrough</t>
  </si>
  <si>
    <t>Benedict</t>
  </si>
  <si>
    <t>Christopher</t>
  </si>
  <si>
    <t>Birdie</t>
  </si>
  <si>
    <t>Haller</t>
  </si>
  <si>
    <t>Wilford</t>
  </si>
  <si>
    <t>Parks</t>
  </si>
  <si>
    <t>Eleanor</t>
  </si>
  <si>
    <t>Nathan</t>
  </si>
  <si>
    <t>Chang</t>
  </si>
  <si>
    <t>Tallent</t>
  </si>
  <si>
    <t>Elbert</t>
  </si>
  <si>
    <t>Potts</t>
  </si>
  <si>
    <t>Keven</t>
  </si>
  <si>
    <t>Hager</t>
  </si>
  <si>
    <t>Lynwood</t>
  </si>
  <si>
    <t>Almond</t>
  </si>
  <si>
    <t>Renaldo</t>
  </si>
  <si>
    <t>Ngo</t>
  </si>
  <si>
    <t>Myra</t>
  </si>
  <si>
    <t>Wiley</t>
  </si>
  <si>
    <t>Chantal</t>
  </si>
  <si>
    <t>Macdonald</t>
  </si>
  <si>
    <t>Luella</t>
  </si>
  <si>
    <t>Fuller</t>
  </si>
  <si>
    <t>Wilbur</t>
  </si>
  <si>
    <t>Salley</t>
  </si>
  <si>
    <t>Manuela</t>
  </si>
  <si>
    <t>Tucker</t>
  </si>
  <si>
    <t>Lupe</t>
  </si>
  <si>
    <t>Myrick</t>
  </si>
  <si>
    <t>Earline</t>
  </si>
  <si>
    <t>Singletary</t>
  </si>
  <si>
    <t>Mohamed</t>
  </si>
  <si>
    <t>Wills</t>
  </si>
  <si>
    <t>Danilo</t>
  </si>
  <si>
    <t>Whiting</t>
  </si>
  <si>
    <t>Alberta</t>
  </si>
  <si>
    <t>Tomlin</t>
  </si>
  <si>
    <t>Bruce</t>
  </si>
  <si>
    <t>Mccool</t>
  </si>
  <si>
    <t>Andria</t>
  </si>
  <si>
    <t>Lees</t>
  </si>
  <si>
    <t>Erwin</t>
  </si>
  <si>
    <t>Knudsen</t>
  </si>
  <si>
    <t>Jerrold</t>
  </si>
  <si>
    <t>Lynch</t>
  </si>
  <si>
    <t>Emanuel</t>
  </si>
  <si>
    <t>Otto</t>
  </si>
  <si>
    <t>Muniz</t>
  </si>
  <si>
    <t>Domingo</t>
  </si>
  <si>
    <t>Maloney</t>
  </si>
  <si>
    <t>Jon</t>
  </si>
  <si>
    <t>Patterson</t>
  </si>
  <si>
    <t>Kuykendall</t>
  </si>
  <si>
    <t>Dara</t>
  </si>
  <si>
    <t>Doty</t>
  </si>
  <si>
    <t>Jonas</t>
  </si>
  <si>
    <t>Worthy</t>
  </si>
  <si>
    <t>Alec</t>
  </si>
  <si>
    <t>Carswell</t>
  </si>
  <si>
    <t>Noemi</t>
  </si>
  <si>
    <t>Bedard</t>
  </si>
  <si>
    <t>Philip</t>
  </si>
  <si>
    <t>Ochoa</t>
  </si>
  <si>
    <t>Heath</t>
  </si>
  <si>
    <t>Irwin</t>
  </si>
  <si>
    <t>Hawk</t>
  </si>
  <si>
    <t>Vernell</t>
  </si>
  <si>
    <t>Caraballo</t>
  </si>
  <si>
    <t>Faye</t>
  </si>
  <si>
    <t>Watts</t>
  </si>
  <si>
    <t>Damaris</t>
  </si>
  <si>
    <t>Beatty</t>
  </si>
  <si>
    <t>John</t>
  </si>
  <si>
    <t>Lucas</t>
  </si>
  <si>
    <t>Kermit</t>
  </si>
  <si>
    <t>Main</t>
  </si>
  <si>
    <t>Amanda</t>
  </si>
  <si>
    <t>Giroux</t>
  </si>
  <si>
    <t>Flossie</t>
  </si>
  <si>
    <t>King</t>
  </si>
  <si>
    <t>Kathi</t>
  </si>
  <si>
    <t>Royer</t>
  </si>
  <si>
    <t>Herb</t>
  </si>
  <si>
    <t>Lorenz</t>
  </si>
  <si>
    <t>Shay</t>
  </si>
  <si>
    <t>Winford</t>
  </si>
  <si>
    <t>Heffner</t>
  </si>
  <si>
    <t>Booker</t>
  </si>
  <si>
    <t>Aleman</t>
  </si>
  <si>
    <t>Hattie</t>
  </si>
  <si>
    <t>Herron</t>
  </si>
  <si>
    <t>Margaret</t>
  </si>
  <si>
    <t>Hyatt</t>
  </si>
  <si>
    <t>Tamra</t>
  </si>
  <si>
    <t>Schuler</t>
  </si>
  <si>
    <t>Bankston</t>
  </si>
  <si>
    <t>Roslyn</t>
  </si>
  <si>
    <t>Willard</t>
  </si>
  <si>
    <t>Knutson</t>
  </si>
  <si>
    <t>Sally</t>
  </si>
  <si>
    <t>Clanton</t>
  </si>
  <si>
    <t>Gerry</t>
  </si>
  <si>
    <t>Oakley</t>
  </si>
  <si>
    <t>Beatrice</t>
  </si>
  <si>
    <t>Gable</t>
  </si>
  <si>
    <t>Darren</t>
  </si>
  <si>
    <t>Elston</t>
  </si>
  <si>
    <t>Lyman</t>
  </si>
  <si>
    <t>Willey</t>
  </si>
  <si>
    <t>Antonia</t>
  </si>
  <si>
    <t>Xiong</t>
  </si>
  <si>
    <t>Madeline</t>
  </si>
  <si>
    <t>Goddard</t>
  </si>
  <si>
    <t>Jodi</t>
  </si>
  <si>
    <t>Littlejohn</t>
  </si>
  <si>
    <t>Mickey</t>
  </si>
  <si>
    <t>Callaghan</t>
  </si>
  <si>
    <t>Walker</t>
  </si>
  <si>
    <t>Crawley</t>
  </si>
  <si>
    <t>Darrick</t>
  </si>
  <si>
    <t>Lay</t>
  </si>
  <si>
    <t>Earl</t>
  </si>
  <si>
    <t>Coyne</t>
  </si>
  <si>
    <t>Sabrina</t>
  </si>
  <si>
    <t>Ackerman</t>
  </si>
  <si>
    <t>Brandie</t>
  </si>
  <si>
    <t>Bozeman</t>
  </si>
  <si>
    <t>Mariano</t>
  </si>
  <si>
    <t>Hutchings</t>
  </si>
  <si>
    <t>Robert</t>
  </si>
  <si>
    <t>Stewart</t>
  </si>
  <si>
    <t>Julianna</t>
  </si>
  <si>
    <t>Meadows</t>
  </si>
  <si>
    <t>Janell</t>
  </si>
  <si>
    <t>Kelley</t>
  </si>
  <si>
    <t>London</t>
  </si>
  <si>
    <t>Lee</t>
  </si>
  <si>
    <t>Yazzie</t>
  </si>
  <si>
    <t>Young</t>
  </si>
  <si>
    <t>Headrick</t>
  </si>
  <si>
    <t>Rebekah</t>
  </si>
  <si>
    <t>Brannon</t>
  </si>
  <si>
    <t>Morton</t>
  </si>
  <si>
    <t>Oconner</t>
  </si>
  <si>
    <t>Wes</t>
  </si>
  <si>
    <t>Fogarty</t>
  </si>
  <si>
    <t>Penelope</t>
  </si>
  <si>
    <t>Mccullough</t>
  </si>
  <si>
    <t>Joni</t>
  </si>
  <si>
    <t>Partin</t>
  </si>
  <si>
    <t>Buford</t>
  </si>
  <si>
    <t>Ivy</t>
  </si>
  <si>
    <t>Ivonne</t>
  </si>
  <si>
    <t>Mayer</t>
  </si>
  <si>
    <t>Winona</t>
  </si>
  <si>
    <t>Bruns</t>
  </si>
  <si>
    <t>Leola</t>
  </si>
  <si>
    <t>Judi</t>
  </si>
  <si>
    <t>Hilton</t>
  </si>
  <si>
    <t>Missy</t>
  </si>
  <si>
    <t>Buckingham</t>
  </si>
  <si>
    <t>Cortez</t>
  </si>
  <si>
    <t>Mccurdy</t>
  </si>
  <si>
    <t>Bobbi</t>
  </si>
  <si>
    <t>Barber</t>
  </si>
  <si>
    <t>Jayme</t>
  </si>
  <si>
    <t>Barone</t>
  </si>
  <si>
    <t>Carson</t>
  </si>
  <si>
    <t>Bentley</t>
  </si>
  <si>
    <t>Barbra</t>
  </si>
  <si>
    <t>Faulkner</t>
  </si>
  <si>
    <t>Nikita</t>
  </si>
  <si>
    <t>Mahoney</t>
  </si>
  <si>
    <t>Doreen</t>
  </si>
  <si>
    <t>Grace</t>
  </si>
  <si>
    <t>Lashawn</t>
  </si>
  <si>
    <t>Linville</t>
  </si>
  <si>
    <t>Hugh</t>
  </si>
  <si>
    <t>Tompkins</t>
  </si>
  <si>
    <t>Ola</t>
  </si>
  <si>
    <t>Pollard</t>
  </si>
  <si>
    <t>Will</t>
  </si>
  <si>
    <t>Bond</t>
  </si>
  <si>
    <t>Marc</t>
  </si>
  <si>
    <t>Cintron</t>
  </si>
  <si>
    <t>Angelica</t>
  </si>
  <si>
    <t>Sells</t>
  </si>
  <si>
    <t>Nigel</t>
  </si>
  <si>
    <t>Ramsey</t>
  </si>
  <si>
    <t>Davis</t>
  </si>
  <si>
    <t>Kent</t>
  </si>
  <si>
    <t>Ahmed</t>
  </si>
  <si>
    <t>Krueger</t>
  </si>
  <si>
    <t>Britt</t>
  </si>
  <si>
    <t>Chestnut</t>
  </si>
  <si>
    <t>Jeff</t>
  </si>
  <si>
    <t>Fortenberry</t>
  </si>
  <si>
    <t>Marcela</t>
  </si>
  <si>
    <t>Rhodes</t>
  </si>
  <si>
    <t>Gayle</t>
  </si>
  <si>
    <t>Lister</t>
  </si>
  <si>
    <t>Steinberg</t>
  </si>
  <si>
    <t>Faustino</t>
  </si>
  <si>
    <t>Biddle</t>
  </si>
  <si>
    <t>Yong</t>
  </si>
  <si>
    <t>Gale</t>
  </si>
  <si>
    <t>Petra</t>
  </si>
  <si>
    <t>Donnelly</t>
  </si>
  <si>
    <t>Stacey</t>
  </si>
  <si>
    <t>Wampler</t>
  </si>
  <si>
    <t>Austin</t>
  </si>
  <si>
    <t>Turner</t>
  </si>
  <si>
    <t>Gena</t>
  </si>
  <si>
    <t>Lehmann</t>
  </si>
  <si>
    <t>Cruz</t>
  </si>
  <si>
    <t>Deena</t>
  </si>
  <si>
    <t>Dayton</t>
  </si>
  <si>
    <t>Cathrine</t>
  </si>
  <si>
    <t>Kincaid</t>
  </si>
  <si>
    <t>Alberto</t>
  </si>
  <si>
    <t>Macon</t>
  </si>
  <si>
    <t>Josef</t>
  </si>
  <si>
    <t>Rountree</t>
  </si>
  <si>
    <t>Vito</t>
  </si>
  <si>
    <t>Nye</t>
  </si>
  <si>
    <t>Andrea</t>
  </si>
  <si>
    <t>Ogle</t>
  </si>
  <si>
    <t>Gonzalo</t>
  </si>
  <si>
    <t>Godinez</t>
  </si>
  <si>
    <t>Linwood</t>
  </si>
  <si>
    <t>Cagle</t>
  </si>
  <si>
    <t>Whitney</t>
  </si>
  <si>
    <t>Trowbridge</t>
  </si>
  <si>
    <t>Felix</t>
  </si>
  <si>
    <t>Gibbons</t>
  </si>
  <si>
    <t>Harriette</t>
  </si>
  <si>
    <t>Barnette</t>
  </si>
  <si>
    <t>Venita</t>
  </si>
  <si>
    <t>Brackett</t>
  </si>
  <si>
    <t>Scott</t>
  </si>
  <si>
    <t>Huffman</t>
  </si>
  <si>
    <t>Vicente</t>
  </si>
  <si>
    <t>Barth</t>
  </si>
  <si>
    <t>Rena</t>
  </si>
  <si>
    <t>Broderick</t>
  </si>
  <si>
    <t>Frances</t>
  </si>
  <si>
    <t>Benge</t>
  </si>
  <si>
    <t>Jason</t>
  </si>
  <si>
    <t>Thurston</t>
  </si>
  <si>
    <t>Fabiola</t>
  </si>
  <si>
    <t>Seale</t>
  </si>
  <si>
    <t>Santos</t>
  </si>
  <si>
    <t>Allison</t>
  </si>
  <si>
    <t>Zachary</t>
  </si>
  <si>
    <t>Batchelor</t>
  </si>
  <si>
    <t>Alvin</t>
  </si>
  <si>
    <t>Rowland</t>
  </si>
  <si>
    <t>Xavier</t>
  </si>
  <si>
    <t>Ramey</t>
  </si>
  <si>
    <t>Damian</t>
  </si>
  <si>
    <t>Keener</t>
  </si>
  <si>
    <t>Courtney</t>
  </si>
  <si>
    <t>Knowlton</t>
  </si>
  <si>
    <t>Eddie</t>
  </si>
  <si>
    <t>Oreilly</t>
  </si>
  <si>
    <t>Horacio</t>
  </si>
  <si>
    <t>Oliphant</t>
  </si>
  <si>
    <t>August</t>
  </si>
  <si>
    <t>Mackenzie</t>
  </si>
  <si>
    <t>Dovie</t>
  </si>
  <si>
    <t>Cortes</t>
  </si>
  <si>
    <t>Lindsay</t>
  </si>
  <si>
    <t>Pratt</t>
  </si>
  <si>
    <t>Browning</t>
  </si>
  <si>
    <t>Haag</t>
  </si>
  <si>
    <t>Brendan</t>
  </si>
  <si>
    <t>Robledo</t>
  </si>
  <si>
    <t>Ilene</t>
  </si>
  <si>
    <t>Blodgett</t>
  </si>
  <si>
    <t>Jesse</t>
  </si>
  <si>
    <t>Stamper</t>
  </si>
  <si>
    <t>Brock</t>
  </si>
  <si>
    <t>Creighton</t>
  </si>
  <si>
    <t>Theresa</t>
  </si>
  <si>
    <t>Chau</t>
  </si>
  <si>
    <t>Kellie</t>
  </si>
  <si>
    <t>Eastman</t>
  </si>
  <si>
    <t>Alexis</t>
  </si>
  <si>
    <t>Stegall</t>
  </si>
  <si>
    <t>Beverley</t>
  </si>
  <si>
    <t>Pearce</t>
  </si>
  <si>
    <t>Jarrod</t>
  </si>
  <si>
    <t>Mcmurray</t>
  </si>
  <si>
    <t>Sharyn</t>
  </si>
  <si>
    <t>Doran</t>
  </si>
  <si>
    <t>Salvador</t>
  </si>
  <si>
    <t>Montes</t>
  </si>
  <si>
    <t>Lavender</t>
  </si>
  <si>
    <t>Maria</t>
  </si>
  <si>
    <t>Farr</t>
  </si>
  <si>
    <t>Gerard</t>
  </si>
  <si>
    <t>Breanna</t>
  </si>
  <si>
    <t>Begay</t>
  </si>
  <si>
    <t>Gilberto</t>
  </si>
  <si>
    <t>Mattison</t>
  </si>
  <si>
    <t>Comeaux</t>
  </si>
  <si>
    <t>Rosanna</t>
  </si>
  <si>
    <t>Stull</t>
  </si>
  <si>
    <t>Bunting</t>
  </si>
  <si>
    <t>Lydia</t>
  </si>
  <si>
    <t>Enrique</t>
  </si>
  <si>
    <t>Wallen</t>
  </si>
  <si>
    <t>Quincy</t>
  </si>
  <si>
    <t>Cramer</t>
  </si>
  <si>
    <t>Rolf</t>
  </si>
  <si>
    <t>Naranjo</t>
  </si>
  <si>
    <t>Marion</t>
  </si>
  <si>
    <t>Cochrane</t>
  </si>
  <si>
    <t>Gene</t>
  </si>
  <si>
    <t>Burl</t>
  </si>
  <si>
    <t>Hildebrand</t>
  </si>
  <si>
    <t>Milo</t>
  </si>
  <si>
    <t>House</t>
  </si>
  <si>
    <t>Mimi</t>
  </si>
  <si>
    <t>Staggs</t>
  </si>
  <si>
    <t>Brian</t>
  </si>
  <si>
    <t>Murillo</t>
  </si>
  <si>
    <t>Cori</t>
  </si>
  <si>
    <t>Baylor</t>
  </si>
  <si>
    <t>Marcella</t>
  </si>
  <si>
    <t>Edmond</t>
  </si>
  <si>
    <t>Douglas</t>
  </si>
  <si>
    <t>March</t>
  </si>
  <si>
    <t>Deangelo</t>
  </si>
  <si>
    <t>Fleck</t>
  </si>
  <si>
    <t>Ashley</t>
  </si>
  <si>
    <t>Kozak</t>
  </si>
  <si>
    <t>Agatha</t>
  </si>
  <si>
    <t>Irish</t>
  </si>
  <si>
    <t>Omar</t>
  </si>
  <si>
    <t>Parham</t>
  </si>
  <si>
    <t>Billy</t>
  </si>
  <si>
    <t>Strom</t>
  </si>
  <si>
    <t>Claudette</t>
  </si>
  <si>
    <t>Plummer</t>
  </si>
  <si>
    <t>Juli</t>
  </si>
  <si>
    <t>Kong</t>
  </si>
  <si>
    <t>Kasey</t>
  </si>
  <si>
    <t>Rivers</t>
  </si>
  <si>
    <t>Myron</t>
  </si>
  <si>
    <t>Parr</t>
  </si>
  <si>
    <t>Osvaldo</t>
  </si>
  <si>
    <t>Ritchie</t>
  </si>
  <si>
    <t>Rudolf</t>
  </si>
  <si>
    <t>Haines</t>
  </si>
  <si>
    <t>Ernestine</t>
  </si>
  <si>
    <t>Schaffer</t>
  </si>
  <si>
    <t>Ruthann</t>
  </si>
  <si>
    <t>Nettles</t>
  </si>
  <si>
    <t>Belva</t>
  </si>
  <si>
    <t>Bowles</t>
  </si>
  <si>
    <t>Gloria</t>
  </si>
  <si>
    <t>Shively</t>
  </si>
  <si>
    <t>Jacquelin</t>
  </si>
  <si>
    <t>Lo</t>
  </si>
  <si>
    <t>Emmanuel</t>
  </si>
  <si>
    <t>Ponder</t>
  </si>
  <si>
    <t>Jan</t>
  </si>
  <si>
    <t>Lattimore</t>
  </si>
  <si>
    <t>Fritz</t>
  </si>
  <si>
    <t>Ballinger</t>
  </si>
  <si>
    <t>Elliott</t>
  </si>
  <si>
    <t>Bustamante</t>
  </si>
  <si>
    <t>Janis</t>
  </si>
  <si>
    <t>Myles</t>
  </si>
  <si>
    <t>Mccutcheon</t>
  </si>
  <si>
    <t>Elena</t>
  </si>
  <si>
    <t>Rangel</t>
  </si>
  <si>
    <t>Millie</t>
  </si>
  <si>
    <t>Freund</t>
  </si>
  <si>
    <t>Olga</t>
  </si>
  <si>
    <t>Chesser</t>
  </si>
  <si>
    <t>Donny</t>
  </si>
  <si>
    <t>Ulmer</t>
  </si>
  <si>
    <t>Maestas</t>
  </si>
  <si>
    <t>Jonathan</t>
  </si>
  <si>
    <t>Atherton</t>
  </si>
  <si>
    <t>Katina</t>
  </si>
  <si>
    <t>Tolley</t>
  </si>
  <si>
    <t>Rocio</t>
  </si>
  <si>
    <t>Pettigrew</t>
  </si>
  <si>
    <t>Sandy</t>
  </si>
  <si>
    <t>Khan</t>
  </si>
  <si>
    <t>Valentina</t>
  </si>
  <si>
    <t>Poling</t>
  </si>
  <si>
    <t>Ernest</t>
  </si>
  <si>
    <t>Begley</t>
  </si>
  <si>
    <t>Aletha</t>
  </si>
  <si>
    <t>Mattingly</t>
  </si>
  <si>
    <t>Lynn</t>
  </si>
  <si>
    <t>Belanger</t>
  </si>
  <si>
    <t>Carolina</t>
  </si>
  <si>
    <t>Castro</t>
  </si>
  <si>
    <t>Malissa</t>
  </si>
  <si>
    <t>Blackburn</t>
  </si>
  <si>
    <t>Mohammad</t>
  </si>
  <si>
    <t>Hammett</t>
  </si>
  <si>
    <t>Emerson</t>
  </si>
  <si>
    <t>Sprouse</t>
  </si>
  <si>
    <t>Adrianne</t>
  </si>
  <si>
    <t>Sydney</t>
  </si>
  <si>
    <t>Grooms</t>
  </si>
  <si>
    <t>Thanh</t>
  </si>
  <si>
    <t>Dyson</t>
  </si>
  <si>
    <t>Marisa</t>
  </si>
  <si>
    <t>Benavides</t>
  </si>
  <si>
    <t>Demetrius</t>
  </si>
  <si>
    <t>Mcnair</t>
  </si>
  <si>
    <t>Marcellus</t>
  </si>
  <si>
    <t>Kirk</t>
  </si>
  <si>
    <t>Archie</t>
  </si>
  <si>
    <t>Magee</t>
  </si>
  <si>
    <t>Mohammed</t>
  </si>
  <si>
    <t>Hawthorne</t>
  </si>
  <si>
    <t>Sharon</t>
  </si>
  <si>
    <t>Corbin</t>
  </si>
  <si>
    <t>Carla</t>
  </si>
  <si>
    <t>Null</t>
  </si>
  <si>
    <t>Gonzales</t>
  </si>
  <si>
    <t>Elisha</t>
  </si>
  <si>
    <t>Mattox</t>
  </si>
  <si>
    <t>Emma</t>
  </si>
  <si>
    <t>Manley</t>
  </si>
  <si>
    <t>Roberto</t>
  </si>
  <si>
    <t>Sell</t>
  </si>
  <si>
    <t>Luigi</t>
  </si>
  <si>
    <t>Pruitt</t>
  </si>
  <si>
    <t>Royce</t>
  </si>
  <si>
    <t>Linares</t>
  </si>
  <si>
    <t>Chrystal</t>
  </si>
  <si>
    <t>Purdy</t>
  </si>
  <si>
    <t>Chauncey</t>
  </si>
  <si>
    <t>Keyes</t>
  </si>
  <si>
    <t>Lacy</t>
  </si>
  <si>
    <t>Layne</t>
  </si>
  <si>
    <t>Shelby</t>
  </si>
  <si>
    <t>Mcnamara</t>
  </si>
  <si>
    <t>Wallis</t>
  </si>
  <si>
    <t>Reuben</t>
  </si>
  <si>
    <t>Rossi</t>
  </si>
  <si>
    <t>Marcos</t>
  </si>
  <si>
    <t>Mcgee</t>
  </si>
  <si>
    <t>Lavern</t>
  </si>
  <si>
    <t>Sides</t>
  </si>
  <si>
    <t>Adela</t>
  </si>
  <si>
    <t>Urbina</t>
  </si>
  <si>
    <t>Oren</t>
  </si>
  <si>
    <t>Scanlon</t>
  </si>
  <si>
    <t>Otha</t>
  </si>
  <si>
    <t>Vo</t>
  </si>
  <si>
    <t>Marci</t>
  </si>
  <si>
    <t>Witcher</t>
  </si>
  <si>
    <t>Chelsea</t>
  </si>
  <si>
    <t>Watkins</t>
  </si>
  <si>
    <t>Bill</t>
  </si>
  <si>
    <t>Purnell</t>
  </si>
  <si>
    <t>Arthur</t>
  </si>
  <si>
    <t>Lindstrom</t>
  </si>
  <si>
    <t>Robyn</t>
  </si>
  <si>
    <t>Wilhite</t>
  </si>
  <si>
    <t>Beltran</t>
  </si>
  <si>
    <t>Lissette</t>
  </si>
  <si>
    <t>Haywood</t>
  </si>
  <si>
    <t>Ken</t>
  </si>
  <si>
    <t>Rutter</t>
  </si>
  <si>
    <t>Grant</t>
  </si>
  <si>
    <t>Yocum</t>
  </si>
  <si>
    <t>Jae</t>
  </si>
  <si>
    <t>Barrows</t>
  </si>
  <si>
    <t>Kathrine</t>
  </si>
  <si>
    <t>Shelley</t>
  </si>
  <si>
    <t>Rhoda</t>
  </si>
  <si>
    <t>Marshall</t>
  </si>
  <si>
    <t>Simon</t>
  </si>
  <si>
    <t>Mckenna</t>
  </si>
  <si>
    <t>Hunter</t>
  </si>
  <si>
    <t>Augustine</t>
  </si>
  <si>
    <t>Tyrell</t>
  </si>
  <si>
    <t>Kell</t>
  </si>
  <si>
    <t>Alfred</t>
  </si>
  <si>
    <t>Corbett</t>
  </si>
  <si>
    <t>Abram</t>
  </si>
  <si>
    <t>Bartley</t>
  </si>
  <si>
    <t>Laureen</t>
  </si>
  <si>
    <t>Barnhart</t>
  </si>
  <si>
    <t>Myrna</t>
  </si>
  <si>
    <t>Neville</t>
  </si>
  <si>
    <t>Hancock</t>
  </si>
  <si>
    <t>Dario</t>
  </si>
  <si>
    <t>Mcrae</t>
  </si>
  <si>
    <t>Virginia</t>
  </si>
  <si>
    <t>Snead</t>
  </si>
  <si>
    <t>Gwendolyn</t>
  </si>
  <si>
    <t>Hannon</t>
  </si>
  <si>
    <t>Fabian</t>
  </si>
  <si>
    <t>Destiny</t>
  </si>
  <si>
    <t>Hiller</t>
  </si>
  <si>
    <t>Jenny</t>
  </si>
  <si>
    <t>Hawes</t>
  </si>
  <si>
    <t>Lucille</t>
  </si>
  <si>
    <t>Castleberry</t>
  </si>
  <si>
    <t>Fairbanks</t>
  </si>
  <si>
    <t>Isaiah</t>
  </si>
  <si>
    <t>Moya</t>
  </si>
  <si>
    <t>Bayer</t>
  </si>
  <si>
    <t>George</t>
  </si>
  <si>
    <t>Duggan</t>
  </si>
  <si>
    <t>Jamie</t>
  </si>
  <si>
    <t>Martens</t>
  </si>
  <si>
    <t>Errol</t>
  </si>
  <si>
    <t>Doug</t>
  </si>
  <si>
    <t>Bray</t>
  </si>
  <si>
    <t>Pederson</t>
  </si>
  <si>
    <t>Norbert</t>
  </si>
  <si>
    <t>Jerome</t>
  </si>
  <si>
    <t>Porter</t>
  </si>
  <si>
    <t>Holloway</t>
  </si>
  <si>
    <t>Wendi</t>
  </si>
  <si>
    <t>Carrington</t>
  </si>
  <si>
    <t>Louie</t>
  </si>
  <si>
    <t>Delbert</t>
  </si>
  <si>
    <t>Inman</t>
  </si>
  <si>
    <t>Eddy</t>
  </si>
  <si>
    <t>Wolcott</t>
  </si>
  <si>
    <t>Tommie</t>
  </si>
  <si>
    <t>Epperson</t>
  </si>
  <si>
    <t>Reynaldo</t>
  </si>
  <si>
    <t>Danielle</t>
  </si>
  <si>
    <t>Culpepper</t>
  </si>
  <si>
    <t>Haynes</t>
  </si>
  <si>
    <t>Williams</t>
  </si>
  <si>
    <t>Rickman</t>
  </si>
  <si>
    <t>Bessie</t>
  </si>
  <si>
    <t>Hirsch</t>
  </si>
  <si>
    <t>Lillie</t>
  </si>
  <si>
    <t>Gladden</t>
  </si>
  <si>
    <t>Lear</t>
  </si>
  <si>
    <t>Camara</t>
  </si>
  <si>
    <t>Chanda</t>
  </si>
  <si>
    <t>Crouch</t>
  </si>
  <si>
    <t>Francesco</t>
  </si>
  <si>
    <t>Steiner</t>
  </si>
  <si>
    <t>Harvey</t>
  </si>
  <si>
    <t>Rhonda</t>
  </si>
  <si>
    <t>Tibbs</t>
  </si>
  <si>
    <t>Wilmoth</t>
  </si>
  <si>
    <t>Stephenie</t>
  </si>
  <si>
    <t>Mesa</t>
  </si>
  <si>
    <t>Rosen</t>
  </si>
  <si>
    <t>Collin</t>
  </si>
  <si>
    <t>Slaton</t>
  </si>
  <si>
    <t>Eloy</t>
  </si>
  <si>
    <t>Ferreira</t>
  </si>
  <si>
    <t>Johnie</t>
  </si>
  <si>
    <t>Cho</t>
  </si>
  <si>
    <t>Von</t>
  </si>
  <si>
    <t>Dupre</t>
  </si>
  <si>
    <t>Griselda</t>
  </si>
  <si>
    <t>Thompson</t>
  </si>
  <si>
    <t>Lottie</t>
  </si>
  <si>
    <t>Miles</t>
  </si>
  <si>
    <t>Tony</t>
  </si>
  <si>
    <t>Schwarz</t>
  </si>
  <si>
    <t>Margo</t>
  </si>
  <si>
    <t>Milam</t>
  </si>
  <si>
    <t>Latonya</t>
  </si>
  <si>
    <t>Amaya</t>
  </si>
  <si>
    <t>Ernesto</t>
  </si>
  <si>
    <t>Soper</t>
  </si>
  <si>
    <t>Randell</t>
  </si>
  <si>
    <t>Treadwell</t>
  </si>
  <si>
    <t>Jeffry</t>
  </si>
  <si>
    <t>Mccloskey</t>
  </si>
  <si>
    <t>Oliver</t>
  </si>
  <si>
    <t>Heflin</t>
  </si>
  <si>
    <t>Graig</t>
  </si>
  <si>
    <t>Padgett</t>
  </si>
  <si>
    <t>Melva</t>
  </si>
  <si>
    <t>Chastain</t>
  </si>
  <si>
    <t>Ursula</t>
  </si>
  <si>
    <t>Tyler</t>
  </si>
  <si>
    <t>Hardison</t>
  </si>
  <si>
    <t>Kidwell</t>
  </si>
  <si>
    <t>Frederic</t>
  </si>
  <si>
    <t>Koonce</t>
  </si>
  <si>
    <t>Eugene</t>
  </si>
  <si>
    <t>Peralta</t>
  </si>
  <si>
    <t>Clarence</t>
  </si>
  <si>
    <t>Pope</t>
  </si>
  <si>
    <t>Vacia_H</t>
  </si>
  <si>
    <t>Vacia_D</t>
  </si>
  <si>
    <t>Vacia_P</t>
  </si>
  <si>
    <t>Vacia_C</t>
  </si>
  <si>
    <t>Vacia_F</t>
  </si>
  <si>
    <t>HoDoPoCoF</t>
  </si>
  <si>
    <t>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</si>
</sst>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Z401"/>
  <sheetViews>
    <sheetView tabSelected="1" topLeftCell="F1" workbookViewId="0">
      <selection activeCell="I26" sqref="I26"/>
    </sheetView>
  </sheetViews>
  <sheetFormatPr baseColWidth="10" defaultRowHeight="14.5" x14ac:dyDescent="0.35"/>
  <cols>
    <col min="7" max="7" width="10.36328125" bestFit="1" customWidth="1"/>
    <col min="8" max="9" width="12.453125" bestFit="1" customWidth="1"/>
    <col min="10" max="10" width="13.81640625" customWidth="1"/>
    <col min="11" max="11" width="9.26953125" bestFit="1" customWidth="1"/>
    <col min="12" max="12" width="13.36328125" bestFit="1" customWidth="1"/>
    <col min="13" max="13" width="12.6328125" bestFit="1" customWidth="1"/>
    <col min="14" max="14" width="14.26953125" bestFit="1" customWidth="1"/>
    <col min="15" max="15" width="13.54296875" bestFit="1" customWidth="1"/>
    <col min="16" max="16" width="12.453125" bestFit="1" customWidth="1"/>
    <col min="17" max="17" width="13.81640625" customWidth="1"/>
    <col min="18" max="18" width="10.453125" bestFit="1" customWidth="1"/>
    <col min="19" max="19" width="7.453125" bestFit="1" customWidth="1"/>
  </cols>
  <sheetData>
    <row r="1" spans="1:2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2" t="s">
        <v>8</v>
      </c>
      <c r="J1" s="2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s="2" t="s">
        <v>15</v>
      </c>
      <c r="Q1" t="s">
        <v>16</v>
      </c>
      <c r="R1" s="2" t="s">
        <v>17</v>
      </c>
      <c r="S1" s="2" t="s">
        <v>18</v>
      </c>
      <c r="T1" s="3" t="s">
        <v>759</v>
      </c>
      <c r="U1" s="3" t="s">
        <v>760</v>
      </c>
      <c r="V1" s="3" t="s">
        <v>761</v>
      </c>
      <c r="W1" s="3" t="s">
        <v>762</v>
      </c>
      <c r="X1" s="3" t="s">
        <v>763</v>
      </c>
      <c r="Y1" s="3" t="s">
        <v>764</v>
      </c>
      <c r="Z1" s="3" t="s">
        <v>765</v>
      </c>
    </row>
    <row r="2" spans="1:26" hidden="1" x14ac:dyDescent="0.35">
      <c r="A2">
        <v>0</v>
      </c>
      <c r="C2" t="s">
        <v>19</v>
      </c>
      <c r="D2" t="s">
        <v>20</v>
      </c>
      <c r="E2" s="1">
        <v>37170</v>
      </c>
      <c r="F2" t="s">
        <v>21</v>
      </c>
      <c r="G2">
        <v>41642</v>
      </c>
      <c r="H2">
        <v>696.09607148088196</v>
      </c>
      <c r="I2">
        <v>3.0201723778093901</v>
      </c>
      <c r="J2">
        <v>-6.9609607148088202</v>
      </c>
      <c r="K2">
        <v>7.9960000000000004</v>
      </c>
      <c r="L2">
        <v>-365.15185045310602</v>
      </c>
      <c r="M2">
        <v>393.13818539298899</v>
      </c>
      <c r="N2">
        <v>4.2076907672502104</v>
      </c>
      <c r="O2">
        <v>1046.7427360602401</v>
      </c>
      <c r="P2">
        <v>3.6689832316813402</v>
      </c>
      <c r="Q2">
        <v>0.37385254725174299</v>
      </c>
      <c r="R2">
        <v>-244.48172</v>
      </c>
      <c r="S2">
        <v>-13.62</v>
      </c>
      <c r="T2">
        <f>IF(I2="",1,0)</f>
        <v>0</v>
      </c>
      <c r="U2">
        <f>IF(J2="",1,0)</f>
        <v>0</v>
      </c>
      <c r="V2">
        <f>IF(P2="",1,0)</f>
        <v>0</v>
      </c>
      <c r="W2">
        <f>IF(R2="",1,0)</f>
        <v>0</v>
      </c>
      <c r="X2">
        <f>IF(S2="",1,0)</f>
        <v>0</v>
      </c>
      <c r="Y2">
        <f>--OR(T2:X2)</f>
        <v>0</v>
      </c>
    </row>
    <row r="3" spans="1:26" hidden="1" x14ac:dyDescent="0.35">
      <c r="A3">
        <v>1</v>
      </c>
      <c r="C3" t="s">
        <v>22</v>
      </c>
      <c r="D3" t="s">
        <v>23</v>
      </c>
      <c r="E3" s="1">
        <v>35803</v>
      </c>
      <c r="F3" t="s">
        <v>24</v>
      </c>
      <c r="G3">
        <v>45352</v>
      </c>
      <c r="H3">
        <v>-370.84465530651198</v>
      </c>
      <c r="I3">
        <v>2.96522616930576</v>
      </c>
      <c r="J3">
        <v>3.7084465530651198</v>
      </c>
      <c r="K3">
        <v>6.3490000000000002</v>
      </c>
      <c r="L3">
        <v>522.58048602617203</v>
      </c>
      <c r="M3">
        <v>602.85305055261995</v>
      </c>
      <c r="N3">
        <v>6.4600173310823701</v>
      </c>
      <c r="O3">
        <v>1048.0538781191999</v>
      </c>
      <c r="P3">
        <v>8.5146222347456906</v>
      </c>
      <c r="Q3">
        <v>0.57743227339245695</v>
      </c>
      <c r="R3">
        <v>-231.292</v>
      </c>
      <c r="S3">
        <v>-26.26</v>
      </c>
      <c r="T3">
        <f t="shared" ref="T3:T66" si="0">IF(I3="",1,0)</f>
        <v>0</v>
      </c>
      <c r="U3">
        <f t="shared" ref="U3:U66" si="1">IF(J3="",1,0)</f>
        <v>0</v>
      </c>
      <c r="V3">
        <f t="shared" ref="V3:V66" si="2">IF(P3="",1,0)</f>
        <v>0</v>
      </c>
      <c r="W3">
        <f t="shared" ref="W3:W66" si="3">IF(R3="",1,0)</f>
        <v>0</v>
      </c>
      <c r="X3">
        <f t="shared" ref="X3:X66" si="4">IF(S3="",1,0)</f>
        <v>0</v>
      </c>
      <c r="Y3">
        <f t="shared" ref="Y3:Y66" si="5">--OR(T3:X3)</f>
        <v>0</v>
      </c>
    </row>
    <row r="4" spans="1:26" hidden="1" x14ac:dyDescent="0.35">
      <c r="A4">
        <v>2</v>
      </c>
      <c r="C4" t="s">
        <v>25</v>
      </c>
      <c r="D4" t="s">
        <v>26</v>
      </c>
      <c r="E4" s="1">
        <v>36053</v>
      </c>
      <c r="F4" t="s">
        <v>24</v>
      </c>
      <c r="G4">
        <v>43502</v>
      </c>
      <c r="H4">
        <v>320.30399042023203</v>
      </c>
      <c r="I4">
        <v>-6.1856965870804999</v>
      </c>
      <c r="J4">
        <v>-3.2030399042023201</v>
      </c>
      <c r="K4">
        <v>4.6189999999999998</v>
      </c>
      <c r="L4">
        <v>-630.07320694619102</v>
      </c>
      <c r="M4">
        <v>588.07179532275404</v>
      </c>
      <c r="N4">
        <v>-5.5658180521620499</v>
      </c>
      <c r="O4">
        <v>936.43735794699398</v>
      </c>
      <c r="P4">
        <v>1.8508293300849601</v>
      </c>
      <c r="Q4">
        <v>-1.64715000897388</v>
      </c>
      <c r="R4">
        <v>-252.99342999999999</v>
      </c>
      <c r="S4">
        <v>200.15</v>
      </c>
      <c r="T4">
        <f t="shared" si="0"/>
        <v>0</v>
      </c>
      <c r="U4">
        <f t="shared" si="1"/>
        <v>0</v>
      </c>
      <c r="V4">
        <f t="shared" si="2"/>
        <v>0</v>
      </c>
      <c r="W4">
        <f t="shared" si="3"/>
        <v>0</v>
      </c>
      <c r="X4">
        <f t="shared" si="4"/>
        <v>0</v>
      </c>
      <c r="Y4">
        <f t="shared" si="5"/>
        <v>0</v>
      </c>
    </row>
    <row r="5" spans="1:26" hidden="1" x14ac:dyDescent="0.35">
      <c r="A5">
        <v>3</v>
      </c>
      <c r="C5" t="s">
        <v>27</v>
      </c>
      <c r="D5" t="s">
        <v>28</v>
      </c>
      <c r="E5" s="1">
        <v>37021</v>
      </c>
      <c r="F5" t="s">
        <v>21</v>
      </c>
      <c r="G5">
        <v>61831</v>
      </c>
      <c r="H5">
        <v>407.20292774453202</v>
      </c>
      <c r="I5">
        <v>4.9624416029808698</v>
      </c>
      <c r="J5" s="4">
        <f>-H5/100</f>
        <v>-4.0720292774453206</v>
      </c>
      <c r="L5">
        <v>-449.17980580026</v>
      </c>
      <c r="M5">
        <v>427.69996561137401</v>
      </c>
      <c r="O5">
        <v>1043.3977178876401</v>
      </c>
      <c r="P5">
        <v>4.6565726535880696</v>
      </c>
      <c r="Q5">
        <v>1.16470789699308</v>
      </c>
      <c r="R5">
        <v>-244.01660000000001</v>
      </c>
      <c r="S5">
        <v>-11.15</v>
      </c>
      <c r="T5">
        <f t="shared" si="0"/>
        <v>0</v>
      </c>
      <c r="U5">
        <f t="shared" si="1"/>
        <v>0</v>
      </c>
      <c r="V5">
        <f t="shared" si="2"/>
        <v>0</v>
      </c>
      <c r="W5">
        <f t="shared" si="3"/>
        <v>0</v>
      </c>
      <c r="X5">
        <f t="shared" si="4"/>
        <v>0</v>
      </c>
      <c r="Y5">
        <f t="shared" si="5"/>
        <v>0</v>
      </c>
      <c r="Z5">
        <f>SUM(T5:X5)</f>
        <v>0</v>
      </c>
    </row>
    <row r="6" spans="1:26" hidden="1" x14ac:dyDescent="0.35">
      <c r="A6">
        <v>4</v>
      </c>
      <c r="C6" t="s">
        <v>29</v>
      </c>
      <c r="D6" t="s">
        <v>30</v>
      </c>
      <c r="E6" s="1">
        <v>36192</v>
      </c>
      <c r="F6" t="s">
        <v>21</v>
      </c>
      <c r="H6">
        <v>288.33774714151798</v>
      </c>
      <c r="I6">
        <v>3.73765597116796</v>
      </c>
      <c r="J6">
        <v>-2.8833774714151801</v>
      </c>
      <c r="K6">
        <v>4.8860000000000001</v>
      </c>
      <c r="L6">
        <v>-449.73216614559402</v>
      </c>
      <c r="M6">
        <v>385.71278204781601</v>
      </c>
      <c r="N6">
        <v>2.8763465676859798</v>
      </c>
      <c r="O6">
        <v>1051.3779355987999</v>
      </c>
      <c r="P6">
        <v>2.7505861033547898</v>
      </c>
      <c r="Q6">
        <v>0.10210440893148599</v>
      </c>
      <c r="R6">
        <v>-243.99806000000001</v>
      </c>
      <c r="S6">
        <v>-7.12</v>
      </c>
      <c r="T6">
        <f t="shared" si="0"/>
        <v>0</v>
      </c>
      <c r="U6">
        <f t="shared" si="1"/>
        <v>0</v>
      </c>
      <c r="V6">
        <f t="shared" si="2"/>
        <v>0</v>
      </c>
      <c r="W6">
        <f t="shared" si="3"/>
        <v>0</v>
      </c>
      <c r="X6">
        <f t="shared" si="4"/>
        <v>0</v>
      </c>
      <c r="Y6">
        <f t="shared" si="5"/>
        <v>0</v>
      </c>
    </row>
    <row r="7" spans="1:26" hidden="1" x14ac:dyDescent="0.35">
      <c r="A7">
        <v>5</v>
      </c>
      <c r="C7" t="s">
        <v>31</v>
      </c>
      <c r="D7" t="s">
        <v>32</v>
      </c>
      <c r="E7" s="1">
        <v>36063</v>
      </c>
      <c r="F7" t="s">
        <v>24</v>
      </c>
      <c r="G7">
        <v>60888</v>
      </c>
      <c r="H7">
        <v>-482.139096352217</v>
      </c>
      <c r="I7">
        <v>-7.3271703228666496</v>
      </c>
      <c r="J7">
        <v>4.8213909635221697</v>
      </c>
      <c r="K7">
        <v>-6.6109999999999998</v>
      </c>
      <c r="L7">
        <v>-525.27250252376098</v>
      </c>
      <c r="M7">
        <v>359.14817180301401</v>
      </c>
      <c r="N7">
        <v>5.1978581792492804</v>
      </c>
      <c r="O7">
        <v>1070.712142717</v>
      </c>
      <c r="P7">
        <v>10.032461125685501</v>
      </c>
      <c r="Q7">
        <v>-2.1852199688256602</v>
      </c>
      <c r="R7">
        <v>-253.62839</v>
      </c>
      <c r="S7">
        <v>-126.66</v>
      </c>
      <c r="T7">
        <f t="shared" si="0"/>
        <v>0</v>
      </c>
      <c r="U7">
        <f t="shared" si="1"/>
        <v>0</v>
      </c>
      <c r="V7">
        <f t="shared" si="2"/>
        <v>0</v>
      </c>
      <c r="W7">
        <f t="shared" si="3"/>
        <v>0</v>
      </c>
      <c r="X7">
        <f t="shared" si="4"/>
        <v>0</v>
      </c>
      <c r="Y7">
        <f t="shared" si="5"/>
        <v>0</v>
      </c>
    </row>
    <row r="8" spans="1:26" hidden="1" x14ac:dyDescent="0.35">
      <c r="A8">
        <v>6</v>
      </c>
      <c r="C8" t="s">
        <v>33</v>
      </c>
      <c r="D8" t="s">
        <v>34</v>
      </c>
      <c r="E8" s="1">
        <v>36145</v>
      </c>
      <c r="F8" t="s">
        <v>24</v>
      </c>
      <c r="G8">
        <v>46583</v>
      </c>
      <c r="H8">
        <v>-488.04145290037201</v>
      </c>
      <c r="I8">
        <v>4.2762659774886096</v>
      </c>
      <c r="J8">
        <v>4.88041452900372</v>
      </c>
      <c r="K8">
        <v>4.9160000000000004</v>
      </c>
      <c r="L8">
        <v>408.92547374155799</v>
      </c>
      <c r="M8">
        <v>633.73300203173096</v>
      </c>
      <c r="N8">
        <v>3.5779424817589498</v>
      </c>
      <c r="O8">
        <v>1046.21717248804</v>
      </c>
      <c r="P8">
        <v>7.9224996888367798</v>
      </c>
      <c r="Q8">
        <v>-1.17845568220928</v>
      </c>
      <c r="R8">
        <v>-231.5856</v>
      </c>
      <c r="S8">
        <v>32.67</v>
      </c>
      <c r="T8">
        <f t="shared" si="0"/>
        <v>0</v>
      </c>
      <c r="U8">
        <f t="shared" si="1"/>
        <v>0</v>
      </c>
      <c r="V8">
        <f t="shared" si="2"/>
        <v>0</v>
      </c>
      <c r="W8">
        <f t="shared" si="3"/>
        <v>0</v>
      </c>
      <c r="X8">
        <f t="shared" si="4"/>
        <v>0</v>
      </c>
      <c r="Y8">
        <f t="shared" si="5"/>
        <v>0</v>
      </c>
    </row>
    <row r="9" spans="1:26" hidden="1" x14ac:dyDescent="0.35">
      <c r="A9">
        <v>7</v>
      </c>
      <c r="C9" t="s">
        <v>35</v>
      </c>
      <c r="D9" t="s">
        <v>36</v>
      </c>
      <c r="E9" s="1">
        <v>36164</v>
      </c>
      <c r="F9" t="s">
        <v>24</v>
      </c>
      <c r="G9">
        <v>42013</v>
      </c>
      <c r="H9">
        <v>675.144047616016</v>
      </c>
      <c r="I9">
        <v>4.0246910991234</v>
      </c>
      <c r="J9">
        <v>-6.7514404761601599</v>
      </c>
      <c r="K9">
        <v>5.1079999999999997</v>
      </c>
      <c r="L9">
        <v>-590.51480388130301</v>
      </c>
      <c r="M9">
        <v>409.42064261354898</v>
      </c>
      <c r="N9">
        <v>4.6725953250502998</v>
      </c>
      <c r="O9">
        <v>1056.70101319797</v>
      </c>
      <c r="P9">
        <v>7.1328610594252897</v>
      </c>
      <c r="Q9">
        <v>0.56311798515683098</v>
      </c>
      <c r="R9">
        <v>-245.93424999999999</v>
      </c>
      <c r="S9">
        <v>13.45</v>
      </c>
      <c r="T9">
        <f t="shared" si="0"/>
        <v>0</v>
      </c>
      <c r="U9">
        <f t="shared" si="1"/>
        <v>0</v>
      </c>
      <c r="V9">
        <f t="shared" si="2"/>
        <v>0</v>
      </c>
      <c r="W9">
        <f t="shared" si="3"/>
        <v>0</v>
      </c>
      <c r="X9">
        <f t="shared" si="4"/>
        <v>0</v>
      </c>
      <c r="Y9">
        <f t="shared" si="5"/>
        <v>0</v>
      </c>
    </row>
    <row r="10" spans="1:26" hidden="1" x14ac:dyDescent="0.35">
      <c r="A10">
        <v>8</v>
      </c>
      <c r="C10" t="s">
        <v>37</v>
      </c>
      <c r="D10" t="s">
        <v>38</v>
      </c>
      <c r="E10" s="1">
        <v>35674</v>
      </c>
      <c r="F10" t="s">
        <v>24</v>
      </c>
      <c r="G10">
        <v>27434</v>
      </c>
      <c r="H10">
        <v>-508.76700083857401</v>
      </c>
      <c r="I10">
        <v>7.1464647984907499</v>
      </c>
      <c r="J10">
        <v>5.0876700083857402</v>
      </c>
      <c r="K10">
        <v>4.5860000000000003</v>
      </c>
      <c r="L10">
        <v>512.85013369321405</v>
      </c>
      <c r="M10">
        <v>591.52418638832205</v>
      </c>
      <c r="N10">
        <v>3.1297916317482399</v>
      </c>
      <c r="O10">
        <v>1040.73423232138</v>
      </c>
      <c r="P10">
        <v>5.7832871073006</v>
      </c>
      <c r="Q10">
        <v>0.41933436875664498</v>
      </c>
      <c r="R10">
        <v>-229.42604</v>
      </c>
      <c r="S10">
        <v>60.88</v>
      </c>
      <c r="T10">
        <f t="shared" si="0"/>
        <v>0</v>
      </c>
      <c r="U10">
        <f t="shared" si="1"/>
        <v>0</v>
      </c>
      <c r="V10">
        <f t="shared" si="2"/>
        <v>0</v>
      </c>
      <c r="W10">
        <f t="shared" si="3"/>
        <v>0</v>
      </c>
      <c r="X10">
        <f t="shared" si="4"/>
        <v>0</v>
      </c>
      <c r="Y10">
        <f t="shared" si="5"/>
        <v>0</v>
      </c>
    </row>
    <row r="11" spans="1:26" hidden="1" x14ac:dyDescent="0.35">
      <c r="A11">
        <v>9</v>
      </c>
      <c r="C11" t="s">
        <v>39</v>
      </c>
      <c r="D11" t="s">
        <v>40</v>
      </c>
      <c r="E11" s="1">
        <v>37114</v>
      </c>
      <c r="F11" t="s">
        <v>24</v>
      </c>
      <c r="G11">
        <v>33500</v>
      </c>
      <c r="H11">
        <v>319.88637170795101</v>
      </c>
      <c r="I11">
        <v>6.5580034620279797</v>
      </c>
      <c r="J11">
        <v>-3.1988637170795098</v>
      </c>
      <c r="K11">
        <v>2.6520000000000001</v>
      </c>
      <c r="L11">
        <v>-449.926594772079</v>
      </c>
      <c r="M11">
        <v>415.73468847059701</v>
      </c>
      <c r="N11">
        <v>4.7545870655059099</v>
      </c>
      <c r="O11">
        <v>1036.40561670176</v>
      </c>
      <c r="P11">
        <v>5.7738816648946001</v>
      </c>
      <c r="Q11">
        <v>-0.18408231122782701</v>
      </c>
      <c r="R11">
        <v>-242.76836</v>
      </c>
      <c r="S11">
        <v>46.29</v>
      </c>
      <c r="T11">
        <f t="shared" si="0"/>
        <v>0</v>
      </c>
      <c r="U11">
        <f t="shared" si="1"/>
        <v>0</v>
      </c>
      <c r="V11">
        <f t="shared" si="2"/>
        <v>0</v>
      </c>
      <c r="W11">
        <f t="shared" si="3"/>
        <v>0</v>
      </c>
      <c r="X11">
        <f t="shared" si="4"/>
        <v>0</v>
      </c>
      <c r="Y11">
        <f t="shared" si="5"/>
        <v>0</v>
      </c>
    </row>
    <row r="12" spans="1:26" hidden="1" x14ac:dyDescent="0.35">
      <c r="A12">
        <v>10</v>
      </c>
      <c r="C12" t="s">
        <v>41</v>
      </c>
      <c r="D12" t="s">
        <v>42</v>
      </c>
      <c r="E12" s="1">
        <v>36348</v>
      </c>
      <c r="F12" t="s">
        <v>21</v>
      </c>
      <c r="G12">
        <v>47320</v>
      </c>
      <c r="H12">
        <v>838.68804445584703</v>
      </c>
      <c r="I12">
        <v>7.3072705737345602</v>
      </c>
      <c r="J12">
        <v>-8.3868804445584697</v>
      </c>
      <c r="K12">
        <v>4.1479999999999997</v>
      </c>
      <c r="L12">
        <v>-461.48142984485003</v>
      </c>
      <c r="M12">
        <v>350.37091785714102</v>
      </c>
      <c r="N12">
        <v>1.78863723277352</v>
      </c>
      <c r="O12">
        <v>1049.3551372721199</v>
      </c>
      <c r="P12">
        <v>1.5825427495534401</v>
      </c>
      <c r="Q12">
        <v>-1.3043658663214399</v>
      </c>
      <c r="R12">
        <v>-247.98053999999999</v>
      </c>
      <c r="S12">
        <v>38.54</v>
      </c>
      <c r="T12">
        <f t="shared" si="0"/>
        <v>0</v>
      </c>
      <c r="U12">
        <f t="shared" si="1"/>
        <v>0</v>
      </c>
      <c r="V12">
        <f t="shared" si="2"/>
        <v>0</v>
      </c>
      <c r="W12">
        <f t="shared" si="3"/>
        <v>0</v>
      </c>
      <c r="X12">
        <f t="shared" si="4"/>
        <v>0</v>
      </c>
      <c r="Y12">
        <f t="shared" si="5"/>
        <v>0</v>
      </c>
    </row>
    <row r="13" spans="1:26" hidden="1" x14ac:dyDescent="0.35">
      <c r="A13">
        <v>11</v>
      </c>
      <c r="C13" t="s">
        <v>43</v>
      </c>
      <c r="D13" t="s">
        <v>44</v>
      </c>
      <c r="E13" s="1">
        <v>36534</v>
      </c>
      <c r="F13" t="s">
        <v>24</v>
      </c>
      <c r="G13">
        <v>46821</v>
      </c>
      <c r="H13">
        <v>-592.84003972531696</v>
      </c>
      <c r="I13">
        <v>-5.1938602308143498</v>
      </c>
      <c r="J13">
        <v>5.9284003972531698</v>
      </c>
      <c r="K13">
        <v>-5.2050000000000001</v>
      </c>
      <c r="M13">
        <v>392.49400336432097</v>
      </c>
      <c r="N13">
        <v>4.4301134030779199</v>
      </c>
      <c r="O13">
        <v>1054.17071359536</v>
      </c>
      <c r="P13">
        <v>8.8979992597255695</v>
      </c>
      <c r="Q13">
        <v>0.20267271527560901</v>
      </c>
      <c r="R13">
        <v>-249.41488000000001</v>
      </c>
      <c r="S13">
        <v>-74.31</v>
      </c>
      <c r="T13">
        <f t="shared" si="0"/>
        <v>0</v>
      </c>
      <c r="U13">
        <f t="shared" si="1"/>
        <v>0</v>
      </c>
      <c r="V13">
        <f t="shared" si="2"/>
        <v>0</v>
      </c>
      <c r="W13">
        <f t="shared" si="3"/>
        <v>0</v>
      </c>
      <c r="X13">
        <f t="shared" si="4"/>
        <v>0</v>
      </c>
      <c r="Y13">
        <f t="shared" si="5"/>
        <v>0</v>
      </c>
    </row>
    <row r="14" spans="1:26" hidden="1" x14ac:dyDescent="0.35">
      <c r="A14">
        <v>12</v>
      </c>
      <c r="C14" t="s">
        <v>45</v>
      </c>
      <c r="D14" t="s">
        <v>46</v>
      </c>
      <c r="E14" s="1">
        <v>35844</v>
      </c>
      <c r="F14" t="s">
        <v>21</v>
      </c>
      <c r="G14">
        <v>54547</v>
      </c>
      <c r="H14">
        <v>-420.42594371997001</v>
      </c>
      <c r="I14">
        <v>-7.8627463747774096</v>
      </c>
      <c r="J14">
        <v>4.2042594371997</v>
      </c>
      <c r="K14">
        <v>-2.0590000000000002</v>
      </c>
      <c r="L14">
        <v>-240.32514629775201</v>
      </c>
      <c r="M14">
        <v>474.23720324645598</v>
      </c>
      <c r="N14">
        <v>5.9367348288258901</v>
      </c>
      <c r="O14">
        <v>1031.3856283427201</v>
      </c>
      <c r="P14">
        <v>10.5393156990555</v>
      </c>
      <c r="Q14">
        <v>-2.1965238381505299</v>
      </c>
      <c r="R14">
        <v>-248.69091</v>
      </c>
      <c r="S14">
        <v>-80.08</v>
      </c>
      <c r="T14">
        <f t="shared" si="0"/>
        <v>0</v>
      </c>
      <c r="U14">
        <f t="shared" si="1"/>
        <v>0</v>
      </c>
      <c r="V14">
        <f t="shared" si="2"/>
        <v>0</v>
      </c>
      <c r="W14">
        <f t="shared" si="3"/>
        <v>0</v>
      </c>
      <c r="X14">
        <f t="shared" si="4"/>
        <v>0</v>
      </c>
      <c r="Y14">
        <f t="shared" si="5"/>
        <v>0</v>
      </c>
    </row>
    <row r="15" spans="1:26" hidden="1" x14ac:dyDescent="0.35">
      <c r="A15">
        <v>13</v>
      </c>
      <c r="C15" t="s">
        <v>47</v>
      </c>
      <c r="D15" t="s">
        <v>48</v>
      </c>
      <c r="E15" s="1">
        <v>36557</v>
      </c>
      <c r="F15" t="s">
        <v>21</v>
      </c>
      <c r="G15">
        <v>60483</v>
      </c>
      <c r="H15">
        <v>-425.91536136452402</v>
      </c>
      <c r="I15">
        <v>-4.5636807653246398</v>
      </c>
      <c r="J15">
        <v>4.2591536136452399</v>
      </c>
      <c r="K15">
        <v>-6.9219999999999997</v>
      </c>
      <c r="L15">
        <v>-487.78282339023599</v>
      </c>
      <c r="M15">
        <v>386.20964433855801</v>
      </c>
      <c r="N15">
        <v>3.17944829762753</v>
      </c>
      <c r="O15">
        <v>1057.9875620278999</v>
      </c>
      <c r="P15">
        <v>8.4951211024742399</v>
      </c>
      <c r="Q15">
        <v>0.75808123403997296</v>
      </c>
      <c r="R15">
        <v>-253.07642999999999</v>
      </c>
      <c r="S15">
        <v>-63.92</v>
      </c>
      <c r="T15">
        <f t="shared" si="0"/>
        <v>0</v>
      </c>
      <c r="U15">
        <f t="shared" si="1"/>
        <v>0</v>
      </c>
      <c r="V15">
        <f t="shared" si="2"/>
        <v>0</v>
      </c>
      <c r="W15">
        <f t="shared" si="3"/>
        <v>0</v>
      </c>
      <c r="X15">
        <f t="shared" si="4"/>
        <v>0</v>
      </c>
      <c r="Y15">
        <f t="shared" si="5"/>
        <v>0</v>
      </c>
    </row>
    <row r="16" spans="1:26" hidden="1" x14ac:dyDescent="0.35">
      <c r="A16">
        <v>14</v>
      </c>
      <c r="C16" t="s">
        <v>49</v>
      </c>
      <c r="D16" t="s">
        <v>50</v>
      </c>
      <c r="E16" s="1">
        <v>35650</v>
      </c>
      <c r="F16" t="s">
        <v>21</v>
      </c>
      <c r="G16">
        <v>46012</v>
      </c>
      <c r="H16">
        <v>-424.85510738615801</v>
      </c>
      <c r="I16">
        <v>-2.8606235865208598</v>
      </c>
      <c r="J16">
        <v>4.2485510738615799</v>
      </c>
      <c r="K16">
        <v>-4.8280000000000003</v>
      </c>
      <c r="L16">
        <v>-538.45352014277398</v>
      </c>
      <c r="M16">
        <v>422.41130462626899</v>
      </c>
      <c r="N16">
        <v>2.5993554541920401</v>
      </c>
      <c r="O16">
        <v>1056.32705797774</v>
      </c>
      <c r="P16">
        <v>9.0729080014872903</v>
      </c>
      <c r="Q16">
        <v>-1.00577601067894</v>
      </c>
      <c r="R16">
        <v>-249.44112999999999</v>
      </c>
      <c r="S16">
        <v>-16.04</v>
      </c>
      <c r="T16">
        <f t="shared" si="0"/>
        <v>0</v>
      </c>
      <c r="U16">
        <f t="shared" si="1"/>
        <v>0</v>
      </c>
      <c r="V16">
        <f t="shared" si="2"/>
        <v>0</v>
      </c>
      <c r="W16">
        <f t="shared" si="3"/>
        <v>0</v>
      </c>
      <c r="X16">
        <f t="shared" si="4"/>
        <v>0</v>
      </c>
      <c r="Y16">
        <f t="shared" si="5"/>
        <v>0</v>
      </c>
    </row>
    <row r="17" spans="1:26" hidden="1" x14ac:dyDescent="0.35">
      <c r="A17">
        <v>15</v>
      </c>
      <c r="C17" t="s">
        <v>51</v>
      </c>
      <c r="D17" t="s">
        <v>52</v>
      </c>
      <c r="E17" s="1">
        <v>37058</v>
      </c>
      <c r="F17" t="s">
        <v>21</v>
      </c>
      <c r="G17">
        <v>58059</v>
      </c>
      <c r="H17">
        <v>511.39308413630101</v>
      </c>
      <c r="I17">
        <v>4.5540584352095603</v>
      </c>
      <c r="J17" s="4">
        <f>-H17/100</f>
        <v>-5.1139308413630102</v>
      </c>
      <c r="K17">
        <v>5.2569999999999997</v>
      </c>
      <c r="L17">
        <v>-621.18014266883495</v>
      </c>
      <c r="M17">
        <v>320.32159020857398</v>
      </c>
      <c r="N17">
        <v>7.4450436737370804</v>
      </c>
      <c r="O17">
        <v>1069.63466891689</v>
      </c>
      <c r="P17">
        <v>4.3907745395936901</v>
      </c>
      <c r="Q17">
        <v>-0.87584823649161703</v>
      </c>
      <c r="R17">
        <v>-245.17055999999999</v>
      </c>
      <c r="S17">
        <v>-90.75</v>
      </c>
      <c r="T17">
        <f t="shared" si="0"/>
        <v>0</v>
      </c>
      <c r="U17">
        <f t="shared" si="1"/>
        <v>0</v>
      </c>
      <c r="V17">
        <f t="shared" si="2"/>
        <v>0</v>
      </c>
      <c r="W17">
        <f t="shared" si="3"/>
        <v>0</v>
      </c>
      <c r="X17">
        <f t="shared" si="4"/>
        <v>0</v>
      </c>
      <c r="Y17">
        <f t="shared" si="5"/>
        <v>0</v>
      </c>
      <c r="Z17">
        <f>SUM(T17:X17)</f>
        <v>0</v>
      </c>
    </row>
    <row r="18" spans="1:26" hidden="1" x14ac:dyDescent="0.35">
      <c r="A18">
        <v>16</v>
      </c>
      <c r="C18" t="s">
        <v>53</v>
      </c>
      <c r="D18" t="s">
        <v>54</v>
      </c>
      <c r="E18" s="1">
        <v>35764</v>
      </c>
      <c r="F18" t="s">
        <v>24</v>
      </c>
      <c r="G18">
        <v>40414</v>
      </c>
      <c r="H18">
        <v>-287.40463816844101</v>
      </c>
      <c r="I18">
        <v>4.5735001862848303</v>
      </c>
      <c r="J18">
        <v>2.8740463816844102</v>
      </c>
      <c r="K18">
        <v>6.2359999999999998</v>
      </c>
      <c r="L18">
        <v>324.44471183127001</v>
      </c>
      <c r="M18">
        <v>587.16976558626402</v>
      </c>
      <c r="N18">
        <v>3.1856608629534802</v>
      </c>
      <c r="O18">
        <v>1039.06961139551</v>
      </c>
      <c r="P18">
        <v>5.8181170330398704</v>
      </c>
      <c r="Q18">
        <v>0.14367823060477</v>
      </c>
      <c r="R18">
        <v>-232.80600999999999</v>
      </c>
      <c r="S18">
        <v>36.26</v>
      </c>
      <c r="T18">
        <f t="shared" si="0"/>
        <v>0</v>
      </c>
      <c r="U18">
        <f t="shared" si="1"/>
        <v>0</v>
      </c>
      <c r="V18">
        <f t="shared" si="2"/>
        <v>0</v>
      </c>
      <c r="W18">
        <f t="shared" si="3"/>
        <v>0</v>
      </c>
      <c r="X18">
        <f t="shared" si="4"/>
        <v>0</v>
      </c>
      <c r="Y18">
        <f t="shared" si="5"/>
        <v>0</v>
      </c>
    </row>
    <row r="19" spans="1:26" hidden="1" x14ac:dyDescent="0.35">
      <c r="A19">
        <v>17</v>
      </c>
      <c r="C19" t="s">
        <v>55</v>
      </c>
      <c r="D19" t="s">
        <v>56</v>
      </c>
      <c r="E19" s="1">
        <v>36518</v>
      </c>
      <c r="F19" t="s">
        <v>24</v>
      </c>
      <c r="G19">
        <v>54521</v>
      </c>
      <c r="H19">
        <v>-432.93332585083601</v>
      </c>
      <c r="I19">
        <v>-4.6167807576613598</v>
      </c>
      <c r="J19">
        <v>4.3293332585083597</v>
      </c>
      <c r="K19">
        <v>-4.6319999999999997</v>
      </c>
      <c r="L19">
        <v>-709.282606285322</v>
      </c>
      <c r="M19">
        <v>386.199390972571</v>
      </c>
      <c r="N19">
        <v>4.1021663475185202</v>
      </c>
      <c r="O19">
        <v>1072.9305098253601</v>
      </c>
      <c r="P19">
        <v>9.91636562497151</v>
      </c>
      <c r="Q19">
        <v>1.6284808494032299</v>
      </c>
      <c r="R19">
        <v>-250.88115999999999</v>
      </c>
      <c r="S19">
        <v>-75.58</v>
      </c>
      <c r="T19">
        <f t="shared" si="0"/>
        <v>0</v>
      </c>
      <c r="U19">
        <f t="shared" si="1"/>
        <v>0</v>
      </c>
      <c r="V19">
        <f t="shared" si="2"/>
        <v>0</v>
      </c>
      <c r="W19">
        <f t="shared" si="3"/>
        <v>0</v>
      </c>
      <c r="X19">
        <f t="shared" si="4"/>
        <v>0</v>
      </c>
      <c r="Y19">
        <f t="shared" si="5"/>
        <v>0</v>
      </c>
    </row>
    <row r="20" spans="1:26" hidden="1" x14ac:dyDescent="0.35">
      <c r="A20">
        <v>18</v>
      </c>
      <c r="C20" t="s">
        <v>57</v>
      </c>
      <c r="D20" t="s">
        <v>58</v>
      </c>
      <c r="E20" s="1">
        <v>36919</v>
      </c>
      <c r="F20" t="s">
        <v>24</v>
      </c>
      <c r="G20">
        <v>37327</v>
      </c>
      <c r="H20">
        <v>-370.14944479887703</v>
      </c>
      <c r="I20">
        <v>6.0909017168775801</v>
      </c>
      <c r="J20">
        <v>3.7014944479887699</v>
      </c>
      <c r="K20">
        <v>6.2110000000000003</v>
      </c>
      <c r="L20">
        <v>617.66475094882799</v>
      </c>
      <c r="M20">
        <v>615.17611894424601</v>
      </c>
      <c r="N20">
        <v>3.1713639079395901</v>
      </c>
      <c r="O20">
        <v>1070.3239840195899</v>
      </c>
      <c r="P20">
        <v>7.5298488732224804</v>
      </c>
      <c r="Q20">
        <v>9.8972913087143205E-2</v>
      </c>
      <c r="R20">
        <v>-229.40353999999999</v>
      </c>
      <c r="S20">
        <v>24.75</v>
      </c>
      <c r="T20">
        <f t="shared" si="0"/>
        <v>0</v>
      </c>
      <c r="U20">
        <f t="shared" si="1"/>
        <v>0</v>
      </c>
      <c r="V20">
        <f t="shared" si="2"/>
        <v>0</v>
      </c>
      <c r="W20">
        <f t="shared" si="3"/>
        <v>0</v>
      </c>
      <c r="X20">
        <f t="shared" si="4"/>
        <v>0</v>
      </c>
      <c r="Y20">
        <f t="shared" si="5"/>
        <v>0</v>
      </c>
    </row>
    <row r="21" spans="1:26" hidden="1" x14ac:dyDescent="0.35">
      <c r="A21">
        <v>19</v>
      </c>
      <c r="C21" t="s">
        <v>49</v>
      </c>
      <c r="D21" t="s">
        <v>59</v>
      </c>
      <c r="E21" s="1">
        <v>36618</v>
      </c>
      <c r="F21" t="s">
        <v>24</v>
      </c>
      <c r="G21">
        <v>46165</v>
      </c>
      <c r="H21">
        <v>593.00732882743898</v>
      </c>
      <c r="I21">
        <v>1.6577526314528299</v>
      </c>
      <c r="J21">
        <v>-5.9300732882743903</v>
      </c>
      <c r="K21">
        <v>3.9950000000000001</v>
      </c>
      <c r="L21">
        <v>-552.95358478710205</v>
      </c>
      <c r="M21">
        <v>365.374220666258</v>
      </c>
      <c r="N21">
        <v>5.3928738363875501</v>
      </c>
      <c r="O21">
        <v>1068.4955970835599</v>
      </c>
      <c r="P21">
        <v>7.0493439966724196</v>
      </c>
      <c r="Q21">
        <v>-0.50551025356938295</v>
      </c>
      <c r="R21">
        <v>-247.87798000000001</v>
      </c>
      <c r="S21">
        <v>-44.64</v>
      </c>
      <c r="T21">
        <f t="shared" si="0"/>
        <v>0</v>
      </c>
      <c r="U21">
        <f t="shared" si="1"/>
        <v>0</v>
      </c>
      <c r="V21">
        <f t="shared" si="2"/>
        <v>0</v>
      </c>
      <c r="W21">
        <f t="shared" si="3"/>
        <v>0</v>
      </c>
      <c r="X21">
        <f t="shared" si="4"/>
        <v>0</v>
      </c>
      <c r="Y21">
        <f t="shared" si="5"/>
        <v>0</v>
      </c>
    </row>
    <row r="22" spans="1:26" hidden="1" x14ac:dyDescent="0.35">
      <c r="A22">
        <v>20</v>
      </c>
      <c r="C22" t="s">
        <v>60</v>
      </c>
      <c r="D22" t="s">
        <v>61</v>
      </c>
      <c r="E22" s="1">
        <v>35987</v>
      </c>
      <c r="F22" t="s">
        <v>24</v>
      </c>
      <c r="G22">
        <v>68803</v>
      </c>
      <c r="H22">
        <v>349.86972888879802</v>
      </c>
      <c r="I22">
        <v>6.4642474337887696</v>
      </c>
      <c r="J22">
        <v>-3.4986972888879802</v>
      </c>
      <c r="K22">
        <v>4.2539999999999996</v>
      </c>
      <c r="L22">
        <v>-679.82087739341</v>
      </c>
      <c r="M22">
        <v>353.04443038764498</v>
      </c>
      <c r="O22">
        <v>1068.90137976553</v>
      </c>
      <c r="P22">
        <v>2.0499380929229298</v>
      </c>
      <c r="Q22">
        <v>-1.17677955549195</v>
      </c>
      <c r="R22">
        <v>-245.03147000000001</v>
      </c>
      <c r="S22">
        <v>-39.74</v>
      </c>
      <c r="T22">
        <f t="shared" si="0"/>
        <v>0</v>
      </c>
      <c r="U22">
        <f t="shared" si="1"/>
        <v>0</v>
      </c>
      <c r="V22">
        <f t="shared" si="2"/>
        <v>0</v>
      </c>
      <c r="W22">
        <f t="shared" si="3"/>
        <v>0</v>
      </c>
      <c r="X22">
        <f t="shared" si="4"/>
        <v>0</v>
      </c>
      <c r="Y22">
        <f t="shared" si="5"/>
        <v>0</v>
      </c>
    </row>
    <row r="23" spans="1:26" hidden="1" x14ac:dyDescent="0.35">
      <c r="A23">
        <v>21</v>
      </c>
      <c r="C23" t="s">
        <v>62</v>
      </c>
      <c r="D23" t="s">
        <v>63</v>
      </c>
      <c r="E23" s="1">
        <v>36343</v>
      </c>
      <c r="F23" t="s">
        <v>21</v>
      </c>
      <c r="G23">
        <v>52568</v>
      </c>
      <c r="H23">
        <v>-385.80938141236498</v>
      </c>
      <c r="I23">
        <v>-4.9624657104019896</v>
      </c>
      <c r="J23">
        <v>3.85809381412365</v>
      </c>
      <c r="K23">
        <v>-5.2919999999999998</v>
      </c>
      <c r="L23">
        <v>-462.01283465173901</v>
      </c>
      <c r="M23">
        <v>423.39493896757</v>
      </c>
      <c r="N23">
        <v>5.45974784160334</v>
      </c>
      <c r="O23">
        <v>1038.5067242575999</v>
      </c>
      <c r="P23">
        <v>10.3384262724104</v>
      </c>
      <c r="Q23">
        <v>0.75389275332362904</v>
      </c>
      <c r="R23">
        <v>-250.89025000000001</v>
      </c>
      <c r="S23">
        <v>-54.47</v>
      </c>
      <c r="T23">
        <f t="shared" si="0"/>
        <v>0</v>
      </c>
      <c r="U23">
        <f t="shared" si="1"/>
        <v>0</v>
      </c>
      <c r="V23">
        <f t="shared" si="2"/>
        <v>0</v>
      </c>
      <c r="W23">
        <f t="shared" si="3"/>
        <v>0</v>
      </c>
      <c r="X23">
        <f t="shared" si="4"/>
        <v>0</v>
      </c>
      <c r="Y23">
        <f t="shared" si="5"/>
        <v>0</v>
      </c>
    </row>
    <row r="24" spans="1:26" hidden="1" x14ac:dyDescent="0.35">
      <c r="A24">
        <v>22</v>
      </c>
      <c r="C24" t="s">
        <v>64</v>
      </c>
      <c r="D24" t="s">
        <v>65</v>
      </c>
      <c r="E24" s="1">
        <v>35864</v>
      </c>
      <c r="F24" t="s">
        <v>21</v>
      </c>
      <c r="G24">
        <v>10167</v>
      </c>
      <c r="H24">
        <v>-315.58954878780798</v>
      </c>
      <c r="I24">
        <v>2.2990190664114301</v>
      </c>
      <c r="J24">
        <v>3.1558954878780798</v>
      </c>
      <c r="K24">
        <v>5.2919999999999998</v>
      </c>
      <c r="L24">
        <v>80.602777893454004</v>
      </c>
      <c r="M24">
        <v>550.50100675956901</v>
      </c>
      <c r="N24">
        <v>3.1764492150580601</v>
      </c>
      <c r="O24">
        <v>1044.8286635509801</v>
      </c>
      <c r="P24">
        <v>8.3658526260009598</v>
      </c>
      <c r="Q24">
        <v>-2.8707485410192499E-2</v>
      </c>
      <c r="R24">
        <v>-233.99950000000001</v>
      </c>
      <c r="S24">
        <v>56.19</v>
      </c>
      <c r="T24">
        <f t="shared" si="0"/>
        <v>0</v>
      </c>
      <c r="U24">
        <f t="shared" si="1"/>
        <v>0</v>
      </c>
      <c r="V24">
        <f t="shared" si="2"/>
        <v>0</v>
      </c>
      <c r="W24">
        <f t="shared" si="3"/>
        <v>0</v>
      </c>
      <c r="X24">
        <f t="shared" si="4"/>
        <v>0</v>
      </c>
      <c r="Y24">
        <f t="shared" si="5"/>
        <v>0</v>
      </c>
    </row>
    <row r="25" spans="1:26" hidden="1" x14ac:dyDescent="0.35">
      <c r="A25">
        <v>23</v>
      </c>
      <c r="C25" t="s">
        <v>66</v>
      </c>
      <c r="D25" t="s">
        <v>67</v>
      </c>
      <c r="E25" s="1">
        <v>36970</v>
      </c>
      <c r="F25" t="s">
        <v>24</v>
      </c>
      <c r="G25">
        <v>74358</v>
      </c>
      <c r="H25">
        <v>-577.37530760000698</v>
      </c>
      <c r="I25">
        <v>3.40903819024888</v>
      </c>
      <c r="J25">
        <v>5.7737530760000704</v>
      </c>
      <c r="K25">
        <v>5.1769999999999996</v>
      </c>
      <c r="L25">
        <v>804.43586219518602</v>
      </c>
      <c r="M25">
        <v>640.24580406634198</v>
      </c>
      <c r="N25">
        <v>5.2183873109194598</v>
      </c>
      <c r="O25">
        <v>1066.5514927071499</v>
      </c>
      <c r="P25">
        <v>7.3472928275215397</v>
      </c>
      <c r="Q25">
        <v>-0.94141214016395203</v>
      </c>
      <c r="R25">
        <v>-230.77466999999999</v>
      </c>
      <c r="S25">
        <v>-62.86</v>
      </c>
      <c r="T25">
        <f t="shared" si="0"/>
        <v>0</v>
      </c>
      <c r="U25">
        <f t="shared" si="1"/>
        <v>0</v>
      </c>
      <c r="V25">
        <f t="shared" si="2"/>
        <v>0</v>
      </c>
      <c r="W25">
        <f t="shared" si="3"/>
        <v>0</v>
      </c>
      <c r="X25">
        <f t="shared" si="4"/>
        <v>0</v>
      </c>
      <c r="Y25">
        <f t="shared" si="5"/>
        <v>0</v>
      </c>
    </row>
    <row r="26" spans="1:26" x14ac:dyDescent="0.35">
      <c r="A26">
        <v>24</v>
      </c>
      <c r="C26" t="s">
        <v>68</v>
      </c>
      <c r="D26" t="s">
        <v>69</v>
      </c>
      <c r="E26" s="1">
        <v>36026</v>
      </c>
      <c r="F26" t="s">
        <v>21</v>
      </c>
      <c r="G26">
        <v>55346</v>
      </c>
      <c r="H26">
        <v>610.03800546918296</v>
      </c>
      <c r="J26">
        <v>-6.1003800546918301</v>
      </c>
      <c r="K26">
        <v>7.0510000000000002</v>
      </c>
      <c r="L26">
        <v>-615.23018110887995</v>
      </c>
      <c r="M26">
        <v>486.508729413938</v>
      </c>
      <c r="N26">
        <v>4.6940287337398097</v>
      </c>
      <c r="O26">
        <v>1056.0091346965301</v>
      </c>
      <c r="P26">
        <v>8.8335602900330201</v>
      </c>
      <c r="Q26">
        <v>0.77886917775112396</v>
      </c>
      <c r="R26">
        <v>-244.83219</v>
      </c>
      <c r="S26">
        <v>8.61</v>
      </c>
      <c r="T26">
        <f t="shared" si="0"/>
        <v>1</v>
      </c>
      <c r="U26">
        <f t="shared" si="1"/>
        <v>0</v>
      </c>
      <c r="V26">
        <f t="shared" si="2"/>
        <v>0</v>
      </c>
      <c r="W26">
        <f t="shared" si="3"/>
        <v>0</v>
      </c>
      <c r="X26">
        <f t="shared" si="4"/>
        <v>0</v>
      </c>
      <c r="Y26">
        <f t="shared" si="5"/>
        <v>1</v>
      </c>
      <c r="Z26">
        <f>SUM(T26:X26)</f>
        <v>1</v>
      </c>
    </row>
    <row r="27" spans="1:26" hidden="1" x14ac:dyDescent="0.35">
      <c r="A27">
        <v>25</v>
      </c>
      <c r="C27" t="s">
        <v>70</v>
      </c>
      <c r="D27" t="s">
        <v>71</v>
      </c>
      <c r="E27" s="1">
        <v>36857</v>
      </c>
      <c r="F27" t="s">
        <v>21</v>
      </c>
      <c r="G27">
        <v>37040</v>
      </c>
      <c r="H27">
        <v>383.70057619264702</v>
      </c>
      <c r="I27">
        <v>3.5201149023260001</v>
      </c>
      <c r="J27">
        <v>-3.8370057619264699</v>
      </c>
      <c r="K27">
        <v>4.2670000000000003</v>
      </c>
      <c r="L27">
        <v>-282.05303301855201</v>
      </c>
      <c r="M27">
        <v>400.15161649323898</v>
      </c>
      <c r="N27">
        <v>6.7541213563142302</v>
      </c>
      <c r="O27">
        <v>1034.96319279363</v>
      </c>
      <c r="P27">
        <v>5.8834602331442598</v>
      </c>
      <c r="Q27">
        <v>-0.873215779271031</v>
      </c>
      <c r="R27">
        <v>-243.2424</v>
      </c>
      <c r="S27">
        <v>-18.350000000000001</v>
      </c>
      <c r="T27">
        <f t="shared" si="0"/>
        <v>0</v>
      </c>
      <c r="U27">
        <f t="shared" si="1"/>
        <v>0</v>
      </c>
      <c r="V27">
        <f t="shared" si="2"/>
        <v>0</v>
      </c>
      <c r="W27">
        <f t="shared" si="3"/>
        <v>0</v>
      </c>
      <c r="X27">
        <f t="shared" si="4"/>
        <v>0</v>
      </c>
      <c r="Y27">
        <f t="shared" si="5"/>
        <v>0</v>
      </c>
    </row>
    <row r="28" spans="1:26" hidden="1" x14ac:dyDescent="0.35">
      <c r="A28">
        <v>26</v>
      </c>
      <c r="C28" t="s">
        <v>72</v>
      </c>
      <c r="D28" t="s">
        <v>73</v>
      </c>
      <c r="E28" s="1">
        <v>35582</v>
      </c>
      <c r="F28" t="s">
        <v>21</v>
      </c>
      <c r="G28">
        <v>40696</v>
      </c>
      <c r="H28">
        <v>-537.65099045482202</v>
      </c>
      <c r="I28">
        <v>1.43191211102958</v>
      </c>
      <c r="J28">
        <v>5.3765099045482199</v>
      </c>
      <c r="K28">
        <v>4.1289999999999996</v>
      </c>
      <c r="L28">
        <v>595.04705009154998</v>
      </c>
      <c r="M28">
        <v>637.16623727060903</v>
      </c>
      <c r="N28">
        <v>6.5131870970153596</v>
      </c>
      <c r="O28">
        <v>1055.3699921508701</v>
      </c>
      <c r="P28">
        <v>11.540263796091301</v>
      </c>
      <c r="Q28">
        <v>2.13428151550653</v>
      </c>
      <c r="R28">
        <v>-231.51566</v>
      </c>
      <c r="S28">
        <v>-19.59</v>
      </c>
      <c r="T28">
        <f t="shared" si="0"/>
        <v>0</v>
      </c>
      <c r="U28">
        <f t="shared" si="1"/>
        <v>0</v>
      </c>
      <c r="V28">
        <f t="shared" si="2"/>
        <v>0</v>
      </c>
      <c r="W28">
        <f t="shared" si="3"/>
        <v>0</v>
      </c>
      <c r="X28">
        <f t="shared" si="4"/>
        <v>0</v>
      </c>
      <c r="Y28">
        <f t="shared" si="5"/>
        <v>0</v>
      </c>
    </row>
    <row r="29" spans="1:26" x14ac:dyDescent="0.35">
      <c r="A29">
        <v>27</v>
      </c>
      <c r="C29" t="s">
        <v>74</v>
      </c>
      <c r="D29" t="s">
        <v>75</v>
      </c>
      <c r="E29" s="1">
        <v>36515</v>
      </c>
      <c r="F29" t="s">
        <v>21</v>
      </c>
      <c r="G29">
        <v>65263</v>
      </c>
      <c r="H29">
        <v>-438.72201780229301</v>
      </c>
      <c r="J29">
        <v>4.3872201780229299</v>
      </c>
      <c r="K29">
        <v>-6.1310000000000002</v>
      </c>
      <c r="L29">
        <v>-403.67244112217099</v>
      </c>
      <c r="M29">
        <v>400.88886791808602</v>
      </c>
      <c r="N29">
        <v>4.6584754884473796</v>
      </c>
      <c r="O29">
        <v>1038.3867354039101</v>
      </c>
      <c r="P29">
        <v>8.1373285599120297</v>
      </c>
      <c r="Q29">
        <v>1.3520746251923501</v>
      </c>
      <c r="R29">
        <v>-252.47707</v>
      </c>
      <c r="S29">
        <v>-78.069999999999993</v>
      </c>
      <c r="T29">
        <f t="shared" si="0"/>
        <v>1</v>
      </c>
      <c r="U29">
        <f t="shared" si="1"/>
        <v>0</v>
      </c>
      <c r="V29">
        <f t="shared" si="2"/>
        <v>0</v>
      </c>
      <c r="W29">
        <f t="shared" si="3"/>
        <v>0</v>
      </c>
      <c r="X29">
        <f t="shared" si="4"/>
        <v>0</v>
      </c>
      <c r="Y29">
        <f t="shared" si="5"/>
        <v>1</v>
      </c>
      <c r="Z29">
        <f>SUM(T29:X29)</f>
        <v>1</v>
      </c>
    </row>
    <row r="30" spans="1:26" hidden="1" x14ac:dyDescent="0.35">
      <c r="A30">
        <v>28</v>
      </c>
      <c r="C30" t="s">
        <v>76</v>
      </c>
      <c r="D30" t="s">
        <v>77</v>
      </c>
      <c r="E30" s="1">
        <v>36587</v>
      </c>
      <c r="F30" t="s">
        <v>21</v>
      </c>
      <c r="G30">
        <v>72647</v>
      </c>
      <c r="H30">
        <v>535.691918563287</v>
      </c>
      <c r="I30">
        <v>-4.7128736203035597</v>
      </c>
      <c r="J30">
        <v>-5.3569191856328704</v>
      </c>
      <c r="K30">
        <v>4.5309999999999997</v>
      </c>
      <c r="L30">
        <v>-430.60928857560998</v>
      </c>
      <c r="M30">
        <v>631.47628284304801</v>
      </c>
      <c r="N30">
        <v>-4.4203454863399596</v>
      </c>
      <c r="O30">
        <v>955.58142407240905</v>
      </c>
      <c r="P30">
        <v>3.50903379041769</v>
      </c>
      <c r="Q30">
        <v>1.0197702494794201</v>
      </c>
      <c r="R30">
        <v>-253.76253</v>
      </c>
      <c r="S30">
        <v>167.45</v>
      </c>
      <c r="T30">
        <f t="shared" si="0"/>
        <v>0</v>
      </c>
      <c r="U30">
        <f t="shared" si="1"/>
        <v>0</v>
      </c>
      <c r="V30">
        <f t="shared" si="2"/>
        <v>0</v>
      </c>
      <c r="W30">
        <f t="shared" si="3"/>
        <v>0</v>
      </c>
      <c r="X30">
        <f t="shared" si="4"/>
        <v>0</v>
      </c>
      <c r="Y30">
        <f t="shared" si="5"/>
        <v>0</v>
      </c>
    </row>
    <row r="31" spans="1:26" hidden="1" x14ac:dyDescent="0.35">
      <c r="A31">
        <v>29</v>
      </c>
      <c r="C31" t="s">
        <v>78</v>
      </c>
      <c r="D31" t="s">
        <v>79</v>
      </c>
      <c r="E31" s="1">
        <v>36030</v>
      </c>
      <c r="F31" t="s">
        <v>24</v>
      </c>
      <c r="G31">
        <v>63929</v>
      </c>
      <c r="H31">
        <v>-610.48564454132804</v>
      </c>
      <c r="I31">
        <v>3.0323630622100999</v>
      </c>
      <c r="J31">
        <v>6.1048564454132803</v>
      </c>
      <c r="K31">
        <v>4.6050000000000004</v>
      </c>
      <c r="L31">
        <v>609.07570388554996</v>
      </c>
      <c r="M31">
        <v>605.40671549624597</v>
      </c>
      <c r="N31">
        <v>3.5420738539380499</v>
      </c>
      <c r="O31">
        <v>1064.32908579524</v>
      </c>
      <c r="P31">
        <v>6.1213481778877199</v>
      </c>
      <c r="Q31">
        <v>-2.452083539483E-2</v>
      </c>
      <c r="R31">
        <v>-232.17381</v>
      </c>
      <c r="S31">
        <v>-38.96</v>
      </c>
      <c r="T31">
        <f t="shared" si="0"/>
        <v>0</v>
      </c>
      <c r="U31">
        <f t="shared" si="1"/>
        <v>0</v>
      </c>
      <c r="V31">
        <f t="shared" si="2"/>
        <v>0</v>
      </c>
      <c r="W31">
        <f t="shared" si="3"/>
        <v>0</v>
      </c>
      <c r="X31">
        <f t="shared" si="4"/>
        <v>0</v>
      </c>
      <c r="Y31">
        <f t="shared" si="5"/>
        <v>0</v>
      </c>
    </row>
    <row r="32" spans="1:26" hidden="1" x14ac:dyDescent="0.35">
      <c r="A32">
        <v>30</v>
      </c>
      <c r="C32" t="s">
        <v>80</v>
      </c>
      <c r="D32" t="s">
        <v>81</v>
      </c>
      <c r="E32" s="1">
        <v>36777</v>
      </c>
      <c r="F32" t="s">
        <v>24</v>
      </c>
      <c r="G32">
        <v>52616</v>
      </c>
      <c r="H32">
        <v>527.60127579539096</v>
      </c>
      <c r="I32">
        <v>6.0501266686748103</v>
      </c>
      <c r="J32">
        <v>-5.27601275795391</v>
      </c>
      <c r="K32">
        <v>5.9109999999999996</v>
      </c>
      <c r="L32">
        <v>-530.05943367384202</v>
      </c>
      <c r="M32">
        <v>400.08694050001498</v>
      </c>
      <c r="N32">
        <v>2.7823004735863099</v>
      </c>
      <c r="O32">
        <v>1050.74736942032</v>
      </c>
      <c r="P32">
        <v>2.68232855152237</v>
      </c>
      <c r="Q32">
        <v>1.38446442235164</v>
      </c>
      <c r="R32">
        <v>-244.19834</v>
      </c>
      <c r="S32">
        <v>16.98</v>
      </c>
      <c r="T32">
        <f t="shared" si="0"/>
        <v>0</v>
      </c>
      <c r="U32">
        <f t="shared" si="1"/>
        <v>0</v>
      </c>
      <c r="V32">
        <f t="shared" si="2"/>
        <v>0</v>
      </c>
      <c r="W32">
        <f t="shared" si="3"/>
        <v>0</v>
      </c>
      <c r="X32">
        <f t="shared" si="4"/>
        <v>0</v>
      </c>
      <c r="Y32">
        <f t="shared" si="5"/>
        <v>0</v>
      </c>
    </row>
    <row r="33" spans="1:26" hidden="1" x14ac:dyDescent="0.35">
      <c r="A33">
        <v>31</v>
      </c>
      <c r="C33" t="s">
        <v>82</v>
      </c>
      <c r="D33" t="s">
        <v>83</v>
      </c>
      <c r="E33" s="1">
        <v>36363</v>
      </c>
      <c r="F33" t="s">
        <v>24</v>
      </c>
      <c r="G33">
        <v>49238</v>
      </c>
      <c r="H33">
        <v>286.88918726333901</v>
      </c>
      <c r="I33">
        <v>3.6655544187980098</v>
      </c>
      <c r="J33">
        <v>-2.8688918726333901</v>
      </c>
      <c r="K33">
        <v>5.58</v>
      </c>
      <c r="M33">
        <v>435.955700064165</v>
      </c>
      <c r="N33">
        <v>3.8542985445559199</v>
      </c>
      <c r="O33">
        <v>1055.14703717112</v>
      </c>
      <c r="P33">
        <v>5.4831826970120101</v>
      </c>
      <c r="Q33">
        <v>-0.69547591846595302</v>
      </c>
      <c r="R33">
        <v>-242.81303</v>
      </c>
      <c r="S33">
        <v>0.76</v>
      </c>
      <c r="T33">
        <f t="shared" si="0"/>
        <v>0</v>
      </c>
      <c r="U33">
        <f t="shared" si="1"/>
        <v>0</v>
      </c>
      <c r="V33">
        <f t="shared" si="2"/>
        <v>0</v>
      </c>
      <c r="W33">
        <f t="shared" si="3"/>
        <v>0</v>
      </c>
      <c r="X33">
        <f t="shared" si="4"/>
        <v>0</v>
      </c>
      <c r="Y33">
        <f t="shared" si="5"/>
        <v>0</v>
      </c>
    </row>
    <row r="34" spans="1:26" hidden="1" x14ac:dyDescent="0.35">
      <c r="A34">
        <v>32</v>
      </c>
      <c r="C34" t="s">
        <v>84</v>
      </c>
      <c r="D34" t="s">
        <v>85</v>
      </c>
      <c r="E34" s="1">
        <v>36616</v>
      </c>
      <c r="F34" t="s">
        <v>21</v>
      </c>
      <c r="G34">
        <v>74276</v>
      </c>
      <c r="H34">
        <v>429.38002679606899</v>
      </c>
      <c r="I34">
        <v>-5.1503543228994104</v>
      </c>
      <c r="J34">
        <v>-4.2938002679606804</v>
      </c>
      <c r="K34">
        <v>3.9169999999999998</v>
      </c>
      <c r="L34">
        <v>-717.89977078155505</v>
      </c>
      <c r="M34">
        <v>615.09518605639596</v>
      </c>
      <c r="N34">
        <v>-5.6407683101624597</v>
      </c>
      <c r="O34">
        <v>942.41340686673595</v>
      </c>
      <c r="P34">
        <v>1.9917722552955699</v>
      </c>
      <c r="Q34">
        <v>-0.91102550346183198</v>
      </c>
      <c r="R34">
        <v>-255.29606000000001</v>
      </c>
      <c r="S34">
        <v>187.84</v>
      </c>
      <c r="T34">
        <f t="shared" si="0"/>
        <v>0</v>
      </c>
      <c r="U34">
        <f t="shared" si="1"/>
        <v>0</v>
      </c>
      <c r="V34">
        <f t="shared" si="2"/>
        <v>0</v>
      </c>
      <c r="W34">
        <f t="shared" si="3"/>
        <v>0</v>
      </c>
      <c r="X34">
        <f t="shared" si="4"/>
        <v>0</v>
      </c>
      <c r="Y34">
        <f t="shared" si="5"/>
        <v>0</v>
      </c>
    </row>
    <row r="35" spans="1:26" hidden="1" x14ac:dyDescent="0.35">
      <c r="A35">
        <v>33</v>
      </c>
      <c r="C35" t="s">
        <v>86</v>
      </c>
      <c r="D35" t="s">
        <v>87</v>
      </c>
      <c r="E35" s="1">
        <v>36681</v>
      </c>
      <c r="F35" t="s">
        <v>21</v>
      </c>
      <c r="G35">
        <v>63574</v>
      </c>
      <c r="H35">
        <v>447.63870180162399</v>
      </c>
      <c r="I35">
        <v>5.03365385173944</v>
      </c>
      <c r="J35">
        <v>-4.4763870180162497</v>
      </c>
      <c r="K35">
        <v>4.2649999999999997</v>
      </c>
      <c r="L35">
        <v>-627.16403292145003</v>
      </c>
      <c r="M35">
        <v>374.01709008584902</v>
      </c>
      <c r="N35">
        <v>4.7790623233013498</v>
      </c>
      <c r="O35">
        <v>1065.2766898979801</v>
      </c>
      <c r="P35">
        <v>4.3211734594794402</v>
      </c>
      <c r="Q35">
        <v>-1.13439208927743</v>
      </c>
      <c r="R35">
        <v>-245.70455000000001</v>
      </c>
      <c r="S35">
        <v>-37.65</v>
      </c>
      <c r="T35">
        <f t="shared" si="0"/>
        <v>0</v>
      </c>
      <c r="U35">
        <f t="shared" si="1"/>
        <v>0</v>
      </c>
      <c r="V35">
        <f t="shared" si="2"/>
        <v>0</v>
      </c>
      <c r="W35">
        <f t="shared" si="3"/>
        <v>0</v>
      </c>
      <c r="X35">
        <f t="shared" si="4"/>
        <v>0</v>
      </c>
      <c r="Y35">
        <f t="shared" si="5"/>
        <v>0</v>
      </c>
    </row>
    <row r="36" spans="1:26" hidden="1" x14ac:dyDescent="0.35">
      <c r="A36">
        <v>34</v>
      </c>
      <c r="C36" t="s">
        <v>88</v>
      </c>
      <c r="D36" t="s">
        <v>89</v>
      </c>
      <c r="E36" s="1">
        <v>36250</v>
      </c>
      <c r="F36" t="s">
        <v>21</v>
      </c>
      <c r="G36">
        <v>40221</v>
      </c>
      <c r="H36">
        <v>538.41000555002199</v>
      </c>
      <c r="I36">
        <v>2.9814306581025498</v>
      </c>
      <c r="J36">
        <v>-5.3841000555002196</v>
      </c>
      <c r="K36">
        <v>3.524</v>
      </c>
      <c r="L36">
        <v>-224.30997486678001</v>
      </c>
      <c r="M36">
        <v>353.41133676608803</v>
      </c>
      <c r="N36">
        <v>3.6794777892749302</v>
      </c>
      <c r="O36">
        <v>1041.2723759978701</v>
      </c>
      <c r="P36">
        <v>2.7749298468872499</v>
      </c>
      <c r="Q36">
        <v>-0.67276053161412896</v>
      </c>
      <c r="R36">
        <v>-247.10056</v>
      </c>
      <c r="S36">
        <v>-15.04</v>
      </c>
      <c r="T36">
        <f t="shared" si="0"/>
        <v>0</v>
      </c>
      <c r="U36">
        <f t="shared" si="1"/>
        <v>0</v>
      </c>
      <c r="V36">
        <f t="shared" si="2"/>
        <v>0</v>
      </c>
      <c r="W36">
        <f t="shared" si="3"/>
        <v>0</v>
      </c>
      <c r="X36">
        <f t="shared" si="4"/>
        <v>0</v>
      </c>
      <c r="Y36">
        <f t="shared" si="5"/>
        <v>0</v>
      </c>
    </row>
    <row r="37" spans="1:26" hidden="1" x14ac:dyDescent="0.35">
      <c r="A37">
        <v>35</v>
      </c>
      <c r="C37" t="s">
        <v>90</v>
      </c>
      <c r="D37" t="s">
        <v>91</v>
      </c>
      <c r="E37" s="1">
        <v>35656</v>
      </c>
      <c r="F37" t="s">
        <v>24</v>
      </c>
      <c r="G37">
        <v>51621</v>
      </c>
      <c r="H37">
        <v>-288.203158748514</v>
      </c>
      <c r="I37">
        <v>9.4028308054101402</v>
      </c>
      <c r="J37">
        <v>2.8820315874851401</v>
      </c>
      <c r="K37">
        <v>7.1189999999999998</v>
      </c>
      <c r="L37">
        <v>273.34106683102198</v>
      </c>
      <c r="M37">
        <v>582.48472910233602</v>
      </c>
      <c r="N37">
        <v>6.3037104122862004</v>
      </c>
      <c r="O37">
        <v>1064.68616868253</v>
      </c>
      <c r="P37">
        <v>7.0628353689273302</v>
      </c>
      <c r="Q37">
        <v>2.2457940845583901</v>
      </c>
      <c r="R37">
        <v>-228.43011999999999</v>
      </c>
      <c r="S37">
        <v>1.1499999999999999</v>
      </c>
      <c r="T37">
        <f t="shared" si="0"/>
        <v>0</v>
      </c>
      <c r="U37">
        <f t="shared" si="1"/>
        <v>0</v>
      </c>
      <c r="V37">
        <f t="shared" si="2"/>
        <v>0</v>
      </c>
      <c r="W37">
        <f t="shared" si="3"/>
        <v>0</v>
      </c>
      <c r="X37">
        <f t="shared" si="4"/>
        <v>0</v>
      </c>
      <c r="Y37">
        <f t="shared" si="5"/>
        <v>0</v>
      </c>
    </row>
    <row r="38" spans="1:26" hidden="1" x14ac:dyDescent="0.35">
      <c r="A38">
        <v>36</v>
      </c>
      <c r="C38" t="s">
        <v>92</v>
      </c>
      <c r="D38" t="s">
        <v>93</v>
      </c>
      <c r="E38" s="1">
        <v>35706</v>
      </c>
      <c r="F38" t="s">
        <v>24</v>
      </c>
      <c r="G38">
        <v>45938</v>
      </c>
      <c r="H38">
        <v>680.89739200086206</v>
      </c>
      <c r="I38">
        <v>-3.4475889491588001</v>
      </c>
      <c r="J38">
        <v>-6.8089739200086203</v>
      </c>
      <c r="K38">
        <v>5.742</v>
      </c>
      <c r="L38">
        <v>-460.40047396312002</v>
      </c>
      <c r="M38">
        <v>640.77877436266601</v>
      </c>
      <c r="N38">
        <v>-4.7242886369297796</v>
      </c>
      <c r="O38">
        <v>961.86009981612995</v>
      </c>
      <c r="P38">
        <v>5.4476728026560304</v>
      </c>
      <c r="Q38">
        <v>-2.87111870526831</v>
      </c>
      <c r="R38">
        <v>-251.67740000000001</v>
      </c>
      <c r="S38">
        <v>217.76</v>
      </c>
      <c r="T38">
        <f t="shared" si="0"/>
        <v>0</v>
      </c>
      <c r="U38">
        <f t="shared" si="1"/>
        <v>0</v>
      </c>
      <c r="V38">
        <f t="shared" si="2"/>
        <v>0</v>
      </c>
      <c r="W38">
        <f t="shared" si="3"/>
        <v>0</v>
      </c>
      <c r="X38">
        <f t="shared" si="4"/>
        <v>0</v>
      </c>
      <c r="Y38">
        <f t="shared" si="5"/>
        <v>0</v>
      </c>
    </row>
    <row r="39" spans="1:26" hidden="1" x14ac:dyDescent="0.35">
      <c r="A39">
        <v>37</v>
      </c>
      <c r="C39" t="s">
        <v>94</v>
      </c>
      <c r="D39" t="s">
        <v>95</v>
      </c>
      <c r="E39" s="1">
        <v>35966</v>
      </c>
      <c r="F39" t="s">
        <v>21</v>
      </c>
      <c r="G39">
        <v>48797</v>
      </c>
      <c r="H39">
        <v>-549.47021349354702</v>
      </c>
      <c r="I39">
        <v>4.2755906917270403</v>
      </c>
      <c r="J39">
        <v>5.4947021349354701</v>
      </c>
      <c r="K39">
        <v>4.5679999999999996</v>
      </c>
      <c r="L39">
        <v>625.31122473431003</v>
      </c>
      <c r="M39">
        <v>608.94013656838001</v>
      </c>
      <c r="N39">
        <v>6.70688882418556</v>
      </c>
      <c r="O39">
        <v>1058.59337955773</v>
      </c>
      <c r="P39">
        <v>9.0286320633805008</v>
      </c>
      <c r="Q39">
        <v>-5.6487080966473799E-2</v>
      </c>
      <c r="R39">
        <v>-229.98936</v>
      </c>
      <c r="S39">
        <v>-33.6</v>
      </c>
      <c r="T39">
        <f t="shared" si="0"/>
        <v>0</v>
      </c>
      <c r="U39">
        <f t="shared" si="1"/>
        <v>0</v>
      </c>
      <c r="V39">
        <f t="shared" si="2"/>
        <v>0</v>
      </c>
      <c r="W39">
        <f t="shared" si="3"/>
        <v>0</v>
      </c>
      <c r="X39">
        <f t="shared" si="4"/>
        <v>0</v>
      </c>
      <c r="Y39">
        <f t="shared" si="5"/>
        <v>0</v>
      </c>
    </row>
    <row r="40" spans="1:26" hidden="1" x14ac:dyDescent="0.35">
      <c r="A40">
        <v>38</v>
      </c>
      <c r="C40" t="s">
        <v>96</v>
      </c>
      <c r="D40" t="s">
        <v>97</v>
      </c>
      <c r="E40" s="1">
        <v>36810</v>
      </c>
      <c r="F40" t="s">
        <v>21</v>
      </c>
      <c r="G40">
        <v>54372</v>
      </c>
      <c r="H40">
        <v>-506.67024617183398</v>
      </c>
      <c r="I40">
        <v>-5.0784075877836798</v>
      </c>
      <c r="J40">
        <v>5.0667024617183403</v>
      </c>
      <c r="K40">
        <v>-6.9729999999999999</v>
      </c>
      <c r="L40">
        <v>-350.87709914057098</v>
      </c>
      <c r="M40">
        <v>397.48922118257298</v>
      </c>
      <c r="N40">
        <v>3.0069317140992702</v>
      </c>
      <c r="O40">
        <v>1053.54872937903</v>
      </c>
      <c r="P40">
        <v>8.4565216970575392</v>
      </c>
      <c r="Q40">
        <v>1.1253262140384901</v>
      </c>
      <c r="R40">
        <v>-252.07034999999999</v>
      </c>
      <c r="S40">
        <v>-59.24</v>
      </c>
      <c r="T40">
        <f t="shared" si="0"/>
        <v>0</v>
      </c>
      <c r="U40">
        <f t="shared" si="1"/>
        <v>0</v>
      </c>
      <c r="V40">
        <f t="shared" si="2"/>
        <v>0</v>
      </c>
      <c r="W40">
        <f t="shared" si="3"/>
        <v>0</v>
      </c>
      <c r="X40">
        <f t="shared" si="4"/>
        <v>0</v>
      </c>
      <c r="Y40">
        <f t="shared" si="5"/>
        <v>0</v>
      </c>
    </row>
    <row r="41" spans="1:26" hidden="1" x14ac:dyDescent="0.35">
      <c r="A41">
        <v>39</v>
      </c>
      <c r="C41" t="s">
        <v>98</v>
      </c>
      <c r="D41" t="s">
        <v>99</v>
      </c>
      <c r="E41" s="1">
        <v>35639</v>
      </c>
      <c r="F41" t="s">
        <v>24</v>
      </c>
      <c r="G41">
        <v>58605</v>
      </c>
      <c r="H41">
        <v>-592.994919301869</v>
      </c>
      <c r="I41">
        <v>4.1567990518056996</v>
      </c>
      <c r="J41">
        <v>5.9299491930186896</v>
      </c>
      <c r="K41">
        <v>4.2809999999999997</v>
      </c>
      <c r="L41">
        <v>565.21668516034799</v>
      </c>
      <c r="M41">
        <v>612.95861776268396</v>
      </c>
      <c r="N41">
        <v>5.5734537590654796</v>
      </c>
      <c r="O41">
        <v>1049.14775326883</v>
      </c>
      <c r="P41">
        <v>7.3833144393060897</v>
      </c>
      <c r="Q41">
        <v>-0.29474029876097402</v>
      </c>
      <c r="R41">
        <v>-231.12773999999999</v>
      </c>
      <c r="S41">
        <v>-25.81</v>
      </c>
      <c r="T41">
        <f t="shared" si="0"/>
        <v>0</v>
      </c>
      <c r="U41">
        <f t="shared" si="1"/>
        <v>0</v>
      </c>
      <c r="V41">
        <f t="shared" si="2"/>
        <v>0</v>
      </c>
      <c r="W41">
        <f t="shared" si="3"/>
        <v>0</v>
      </c>
      <c r="X41">
        <f t="shared" si="4"/>
        <v>0</v>
      </c>
      <c r="Y41">
        <f t="shared" si="5"/>
        <v>0</v>
      </c>
    </row>
    <row r="42" spans="1:26" hidden="1" x14ac:dyDescent="0.35">
      <c r="A42">
        <v>40</v>
      </c>
      <c r="C42" t="s">
        <v>100</v>
      </c>
      <c r="D42" t="s">
        <v>101</v>
      </c>
      <c r="E42" s="1">
        <v>36246</v>
      </c>
      <c r="F42" t="s">
        <v>21</v>
      </c>
      <c r="G42">
        <v>45913</v>
      </c>
      <c r="H42">
        <v>-465.30518133907799</v>
      </c>
      <c r="I42">
        <v>2.35474638397472</v>
      </c>
      <c r="J42">
        <v>4.6530518133907801</v>
      </c>
      <c r="K42">
        <v>4.4969999999999999</v>
      </c>
      <c r="L42">
        <v>532.31154702306799</v>
      </c>
      <c r="M42">
        <v>605.28783583527695</v>
      </c>
      <c r="N42">
        <v>3.71705066717535</v>
      </c>
      <c r="O42">
        <v>1032.91288127551</v>
      </c>
      <c r="P42">
        <v>6.4902264046357896</v>
      </c>
      <c r="Q42">
        <v>-0.122996398764815</v>
      </c>
      <c r="R42">
        <v>-233.52647999999999</v>
      </c>
      <c r="S42">
        <v>11.47</v>
      </c>
      <c r="T42">
        <f t="shared" si="0"/>
        <v>0</v>
      </c>
      <c r="U42">
        <f t="shared" si="1"/>
        <v>0</v>
      </c>
      <c r="V42">
        <f t="shared" si="2"/>
        <v>0</v>
      </c>
      <c r="W42">
        <f t="shared" si="3"/>
        <v>0</v>
      </c>
      <c r="X42">
        <f t="shared" si="4"/>
        <v>0</v>
      </c>
      <c r="Y42">
        <f t="shared" si="5"/>
        <v>0</v>
      </c>
    </row>
    <row r="43" spans="1:26" hidden="1" x14ac:dyDescent="0.35">
      <c r="A43">
        <v>41</v>
      </c>
      <c r="C43" t="s">
        <v>102</v>
      </c>
      <c r="D43" t="s">
        <v>103</v>
      </c>
      <c r="E43" s="1">
        <v>36883</v>
      </c>
      <c r="F43" t="s">
        <v>24</v>
      </c>
      <c r="G43">
        <v>41129</v>
      </c>
      <c r="H43">
        <v>-522.00560703861402</v>
      </c>
      <c r="I43">
        <v>-5.7834935246944399</v>
      </c>
      <c r="J43">
        <v>5.2200560703861401</v>
      </c>
      <c r="K43">
        <v>-4.9550000000000001</v>
      </c>
      <c r="L43">
        <v>-482.95564370502802</v>
      </c>
      <c r="M43">
        <v>401.02777614509301</v>
      </c>
      <c r="N43">
        <v>5.9069237676200199</v>
      </c>
      <c r="O43">
        <v>1052.3537742352</v>
      </c>
      <c r="P43">
        <v>10.955587228065999</v>
      </c>
      <c r="Q43">
        <v>-1.1986857770114601</v>
      </c>
      <c r="R43">
        <v>-249.32772</v>
      </c>
      <c r="S43">
        <v>-75.81</v>
      </c>
      <c r="T43">
        <f t="shared" si="0"/>
        <v>0</v>
      </c>
      <c r="U43">
        <f t="shared" si="1"/>
        <v>0</v>
      </c>
      <c r="V43">
        <f t="shared" si="2"/>
        <v>0</v>
      </c>
      <c r="W43">
        <f t="shared" si="3"/>
        <v>0</v>
      </c>
      <c r="X43">
        <f t="shared" si="4"/>
        <v>0</v>
      </c>
      <c r="Y43">
        <f t="shared" si="5"/>
        <v>0</v>
      </c>
    </row>
    <row r="44" spans="1:26" x14ac:dyDescent="0.35">
      <c r="A44">
        <v>42</v>
      </c>
      <c r="C44" t="s">
        <v>104</v>
      </c>
      <c r="D44" t="s">
        <v>105</v>
      </c>
      <c r="E44" s="1">
        <v>36821</v>
      </c>
      <c r="F44" t="s">
        <v>21</v>
      </c>
      <c r="G44">
        <v>41582</v>
      </c>
      <c r="H44">
        <v>712.81979170152499</v>
      </c>
      <c r="I44">
        <v>7.0534334672576096</v>
      </c>
      <c r="J44">
        <v>-7.1281979170152496</v>
      </c>
      <c r="K44">
        <v>4.6849999999999996</v>
      </c>
      <c r="L44">
        <v>-438.75280214902199</v>
      </c>
      <c r="N44">
        <v>5.5495202994259296</v>
      </c>
      <c r="O44">
        <v>1039.9034236075199</v>
      </c>
      <c r="Q44">
        <v>0.377841786283383</v>
      </c>
      <c r="R44">
        <v>-244.77196000000001</v>
      </c>
      <c r="S44">
        <v>17.149999999999999</v>
      </c>
      <c r="T44">
        <f t="shared" si="0"/>
        <v>0</v>
      </c>
      <c r="U44">
        <f t="shared" si="1"/>
        <v>0</v>
      </c>
      <c r="V44">
        <f t="shared" si="2"/>
        <v>1</v>
      </c>
      <c r="W44">
        <f t="shared" si="3"/>
        <v>0</v>
      </c>
      <c r="X44">
        <f t="shared" si="4"/>
        <v>0</v>
      </c>
      <c r="Y44">
        <f t="shared" si="5"/>
        <v>1</v>
      </c>
      <c r="Z44">
        <f>SUM(T44:X44)</f>
        <v>1</v>
      </c>
    </row>
    <row r="45" spans="1:26" hidden="1" x14ac:dyDescent="0.35">
      <c r="A45">
        <v>43</v>
      </c>
      <c r="C45" t="s">
        <v>106</v>
      </c>
      <c r="D45" t="s">
        <v>107</v>
      </c>
      <c r="E45" s="1">
        <v>36792</v>
      </c>
      <c r="F45" t="s">
        <v>24</v>
      </c>
      <c r="G45">
        <v>74197</v>
      </c>
      <c r="H45">
        <v>-367.82631976061799</v>
      </c>
      <c r="I45">
        <v>-4.65428431747491</v>
      </c>
      <c r="J45">
        <v>3.6782631976061801</v>
      </c>
      <c r="K45">
        <v>-3.6760000000000002</v>
      </c>
      <c r="L45">
        <v>-409.985385071189</v>
      </c>
      <c r="M45">
        <v>449.28437564910598</v>
      </c>
      <c r="N45">
        <v>5.5362897106534099</v>
      </c>
      <c r="O45">
        <v>1011.35397767414</v>
      </c>
      <c r="P45">
        <v>7.3740782833035299</v>
      </c>
      <c r="R45">
        <v>-250.76828</v>
      </c>
      <c r="S45">
        <v>-61.29</v>
      </c>
      <c r="T45">
        <f t="shared" si="0"/>
        <v>0</v>
      </c>
      <c r="U45">
        <f t="shared" si="1"/>
        <v>0</v>
      </c>
      <c r="V45">
        <f t="shared" si="2"/>
        <v>0</v>
      </c>
      <c r="W45">
        <f t="shared" si="3"/>
        <v>0</v>
      </c>
      <c r="X45">
        <f t="shared" si="4"/>
        <v>0</v>
      </c>
      <c r="Y45">
        <f t="shared" si="5"/>
        <v>0</v>
      </c>
    </row>
    <row r="46" spans="1:26" hidden="1" x14ac:dyDescent="0.35">
      <c r="A46">
        <v>44</v>
      </c>
      <c r="C46" t="s">
        <v>108</v>
      </c>
      <c r="D46" t="s">
        <v>109</v>
      </c>
      <c r="E46" s="1">
        <v>35421</v>
      </c>
      <c r="F46" t="s">
        <v>21</v>
      </c>
      <c r="G46">
        <v>74063</v>
      </c>
      <c r="H46">
        <v>399.63126806148</v>
      </c>
      <c r="I46">
        <v>5.1899094993061503</v>
      </c>
      <c r="J46">
        <v>-3.9963126806148002</v>
      </c>
      <c r="K46">
        <v>4.5270000000000001</v>
      </c>
      <c r="L46">
        <v>-510.35808265083199</v>
      </c>
      <c r="M46">
        <v>335.01388286737802</v>
      </c>
      <c r="O46">
        <v>1063.45425993814</v>
      </c>
      <c r="P46">
        <v>1.50150979025316</v>
      </c>
      <c r="Q46">
        <v>-1.6275838804831</v>
      </c>
      <c r="R46">
        <v>-245.73653999999999</v>
      </c>
      <c r="S46">
        <v>-82.43</v>
      </c>
      <c r="T46">
        <f t="shared" si="0"/>
        <v>0</v>
      </c>
      <c r="U46">
        <f t="shared" si="1"/>
        <v>0</v>
      </c>
      <c r="V46">
        <f t="shared" si="2"/>
        <v>0</v>
      </c>
      <c r="W46">
        <f t="shared" si="3"/>
        <v>0</v>
      </c>
      <c r="X46">
        <f t="shared" si="4"/>
        <v>0</v>
      </c>
      <c r="Y46">
        <f t="shared" si="5"/>
        <v>0</v>
      </c>
    </row>
    <row r="47" spans="1:26" hidden="1" x14ac:dyDescent="0.35">
      <c r="A47">
        <v>45</v>
      </c>
      <c r="C47" t="s">
        <v>110</v>
      </c>
      <c r="D47" t="s">
        <v>111</v>
      </c>
      <c r="E47" s="1">
        <v>35434</v>
      </c>
      <c r="F47" t="s">
        <v>24</v>
      </c>
      <c r="G47">
        <v>9014</v>
      </c>
      <c r="H47">
        <v>-255.232632316843</v>
      </c>
      <c r="I47">
        <v>2.8970336441580602</v>
      </c>
      <c r="J47">
        <v>2.5523263231684301</v>
      </c>
      <c r="K47">
        <v>6.07</v>
      </c>
      <c r="L47">
        <v>545.824185494669</v>
      </c>
      <c r="M47">
        <v>576.58825029272998</v>
      </c>
      <c r="N47">
        <v>7.5201219322338098</v>
      </c>
      <c r="O47">
        <v>1082.6396407334</v>
      </c>
      <c r="P47">
        <v>13.158387136758501</v>
      </c>
      <c r="Q47">
        <v>-0.99633011449120501</v>
      </c>
      <c r="R47">
        <v>-229.79917</v>
      </c>
      <c r="S47">
        <v>-18.37</v>
      </c>
      <c r="T47">
        <f t="shared" si="0"/>
        <v>0</v>
      </c>
      <c r="U47">
        <f t="shared" si="1"/>
        <v>0</v>
      </c>
      <c r="V47">
        <f t="shared" si="2"/>
        <v>0</v>
      </c>
      <c r="W47">
        <f t="shared" si="3"/>
        <v>0</v>
      </c>
      <c r="X47">
        <f t="shared" si="4"/>
        <v>0</v>
      </c>
      <c r="Y47">
        <f t="shared" si="5"/>
        <v>0</v>
      </c>
    </row>
    <row r="48" spans="1:26" hidden="1" x14ac:dyDescent="0.35">
      <c r="A48">
        <v>46</v>
      </c>
      <c r="C48" t="s">
        <v>112</v>
      </c>
      <c r="D48" t="s">
        <v>113</v>
      </c>
      <c r="E48" s="1">
        <v>35398</v>
      </c>
      <c r="F48" t="s">
        <v>24</v>
      </c>
      <c r="G48">
        <v>65557</v>
      </c>
      <c r="H48">
        <v>-360.97103296048601</v>
      </c>
      <c r="I48">
        <v>-5.8953563714318102</v>
      </c>
      <c r="J48">
        <v>3.60971032960486</v>
      </c>
      <c r="K48">
        <v>-6.6369999999999996</v>
      </c>
      <c r="L48">
        <v>-352.42331413665801</v>
      </c>
      <c r="M48">
        <v>407.584340230713</v>
      </c>
      <c r="N48">
        <v>2.55871558767948</v>
      </c>
      <c r="O48">
        <v>1058.40907792847</v>
      </c>
      <c r="P48">
        <v>8.6561101950790995</v>
      </c>
      <c r="Q48">
        <v>0.73719096597489298</v>
      </c>
      <c r="R48">
        <v>-254.08156</v>
      </c>
      <c r="S48">
        <v>-68.69</v>
      </c>
      <c r="T48">
        <f t="shared" si="0"/>
        <v>0</v>
      </c>
      <c r="U48">
        <f t="shared" si="1"/>
        <v>0</v>
      </c>
      <c r="V48">
        <f t="shared" si="2"/>
        <v>0</v>
      </c>
      <c r="W48">
        <f t="shared" si="3"/>
        <v>0</v>
      </c>
      <c r="X48">
        <f t="shared" si="4"/>
        <v>0</v>
      </c>
      <c r="Y48">
        <f t="shared" si="5"/>
        <v>0</v>
      </c>
    </row>
    <row r="49" spans="1:25" hidden="1" x14ac:dyDescent="0.35">
      <c r="A49">
        <v>47</v>
      </c>
      <c r="C49" t="s">
        <v>114</v>
      </c>
      <c r="D49" t="s">
        <v>115</v>
      </c>
      <c r="E49" s="1">
        <v>36069</v>
      </c>
      <c r="F49" t="s">
        <v>24</v>
      </c>
      <c r="G49">
        <v>26369</v>
      </c>
      <c r="H49">
        <v>870.06349805661296</v>
      </c>
      <c r="I49">
        <v>-6.1992492992456798</v>
      </c>
      <c r="J49">
        <v>-8.7006349805661305</v>
      </c>
      <c r="K49">
        <v>4.4370000000000003</v>
      </c>
      <c r="L49">
        <v>-445.61601570477802</v>
      </c>
      <c r="M49">
        <v>554.872221270296</v>
      </c>
      <c r="N49">
        <v>-3.16802658374765</v>
      </c>
      <c r="O49">
        <v>927.34188090776695</v>
      </c>
      <c r="P49">
        <v>4.1469076522787303</v>
      </c>
      <c r="Q49">
        <v>0.14627232686762301</v>
      </c>
      <c r="R49">
        <v>-256.06400000000002</v>
      </c>
      <c r="S49">
        <v>206.59</v>
      </c>
      <c r="T49">
        <f t="shared" si="0"/>
        <v>0</v>
      </c>
      <c r="U49">
        <f t="shared" si="1"/>
        <v>0</v>
      </c>
      <c r="V49">
        <f t="shared" si="2"/>
        <v>0</v>
      </c>
      <c r="W49">
        <f t="shared" si="3"/>
        <v>0</v>
      </c>
      <c r="X49">
        <f t="shared" si="4"/>
        <v>0</v>
      </c>
      <c r="Y49">
        <f t="shared" si="5"/>
        <v>0</v>
      </c>
    </row>
    <row r="50" spans="1:25" hidden="1" x14ac:dyDescent="0.35">
      <c r="A50">
        <v>48</v>
      </c>
      <c r="C50" t="s">
        <v>116</v>
      </c>
      <c r="D50" t="s">
        <v>117</v>
      </c>
      <c r="E50" s="1">
        <v>36449</v>
      </c>
      <c r="F50" t="s">
        <v>21</v>
      </c>
      <c r="G50">
        <v>35150</v>
      </c>
      <c r="H50">
        <v>-374.23902359441502</v>
      </c>
      <c r="I50">
        <v>4.9590977850157998</v>
      </c>
      <c r="J50">
        <v>3.7423902359441499</v>
      </c>
      <c r="K50">
        <v>5.1719999999999997</v>
      </c>
      <c r="L50">
        <v>815.31323293220703</v>
      </c>
      <c r="M50">
        <v>585.17038135664097</v>
      </c>
      <c r="N50">
        <v>4.0136152119737103</v>
      </c>
      <c r="O50">
        <v>1067.6083796308301</v>
      </c>
      <c r="P50">
        <v>7.0753347335386296</v>
      </c>
      <c r="Q50">
        <v>-2.2063120650828698</v>
      </c>
      <c r="R50">
        <v>-230.44896</v>
      </c>
      <c r="S50">
        <v>-5.96</v>
      </c>
      <c r="T50">
        <f t="shared" si="0"/>
        <v>0</v>
      </c>
      <c r="U50">
        <f t="shared" si="1"/>
        <v>0</v>
      </c>
      <c r="V50">
        <f t="shared" si="2"/>
        <v>0</v>
      </c>
      <c r="W50">
        <f t="shared" si="3"/>
        <v>0</v>
      </c>
      <c r="X50">
        <f t="shared" si="4"/>
        <v>0</v>
      </c>
      <c r="Y50">
        <f t="shared" si="5"/>
        <v>0</v>
      </c>
    </row>
    <row r="51" spans="1:25" hidden="1" x14ac:dyDescent="0.35">
      <c r="A51">
        <v>49</v>
      </c>
      <c r="C51" t="s">
        <v>118</v>
      </c>
      <c r="D51" t="s">
        <v>119</v>
      </c>
      <c r="E51" s="1">
        <v>35828</v>
      </c>
      <c r="F51" t="s">
        <v>21</v>
      </c>
      <c r="G51">
        <v>17451</v>
      </c>
      <c r="H51">
        <v>-765.93500720733005</v>
      </c>
      <c r="I51">
        <v>-4.3554978539214799</v>
      </c>
      <c r="J51">
        <v>7.6593500720733001</v>
      </c>
      <c r="K51">
        <v>-2.3439999999999999</v>
      </c>
      <c r="L51">
        <v>-546.15624922414202</v>
      </c>
      <c r="M51">
        <v>391.42252815853601</v>
      </c>
      <c r="N51">
        <v>6.1859037385027396</v>
      </c>
      <c r="O51">
        <v>1057.13126233756</v>
      </c>
      <c r="P51">
        <v>10.221975756194601</v>
      </c>
      <c r="Q51">
        <v>0.61992895284583005</v>
      </c>
      <c r="R51">
        <v>-243.17219</v>
      </c>
      <c r="S51">
        <v>-65.37</v>
      </c>
      <c r="T51">
        <f t="shared" si="0"/>
        <v>0</v>
      </c>
      <c r="U51">
        <f t="shared" si="1"/>
        <v>0</v>
      </c>
      <c r="V51">
        <f t="shared" si="2"/>
        <v>0</v>
      </c>
      <c r="W51">
        <f t="shared" si="3"/>
        <v>0</v>
      </c>
      <c r="X51">
        <f t="shared" si="4"/>
        <v>0</v>
      </c>
      <c r="Y51">
        <f t="shared" si="5"/>
        <v>0</v>
      </c>
    </row>
    <row r="52" spans="1:25" hidden="1" x14ac:dyDescent="0.35">
      <c r="A52">
        <v>50</v>
      </c>
      <c r="C52" t="s">
        <v>120</v>
      </c>
      <c r="D52" t="s">
        <v>121</v>
      </c>
      <c r="E52" s="1">
        <v>35573</v>
      </c>
      <c r="F52" t="s">
        <v>24</v>
      </c>
      <c r="G52">
        <v>44637</v>
      </c>
      <c r="H52">
        <v>-323.36970717569898</v>
      </c>
      <c r="I52">
        <v>9.6784619750567096</v>
      </c>
      <c r="J52">
        <v>3.2336970717569899</v>
      </c>
      <c r="K52">
        <v>6.2639999999999896</v>
      </c>
      <c r="L52">
        <v>348.46999712315397</v>
      </c>
      <c r="M52">
        <v>606.948012664266</v>
      </c>
      <c r="N52">
        <v>3.8199095362165498</v>
      </c>
      <c r="O52">
        <v>1046.80890872446</v>
      </c>
      <c r="P52">
        <v>5.7295487571336903</v>
      </c>
      <c r="Q52">
        <v>-0.38363075828130699</v>
      </c>
      <c r="R52">
        <v>-228.90029999999999</v>
      </c>
      <c r="S52">
        <v>59.62</v>
      </c>
      <c r="T52">
        <f t="shared" si="0"/>
        <v>0</v>
      </c>
      <c r="U52">
        <f t="shared" si="1"/>
        <v>0</v>
      </c>
      <c r="V52">
        <f t="shared" si="2"/>
        <v>0</v>
      </c>
      <c r="W52">
        <f t="shared" si="3"/>
        <v>0</v>
      </c>
      <c r="X52">
        <f t="shared" si="4"/>
        <v>0</v>
      </c>
      <c r="Y52">
        <f t="shared" si="5"/>
        <v>0</v>
      </c>
    </row>
    <row r="53" spans="1:25" hidden="1" x14ac:dyDescent="0.35">
      <c r="A53">
        <v>51</v>
      </c>
      <c r="C53" t="s">
        <v>122</v>
      </c>
      <c r="D53" t="s">
        <v>123</v>
      </c>
      <c r="E53" s="1">
        <v>36013</v>
      </c>
      <c r="F53" t="s">
        <v>24</v>
      </c>
      <c r="G53">
        <v>41578</v>
      </c>
      <c r="H53">
        <v>635.96014844081299</v>
      </c>
      <c r="I53">
        <v>4.1316271710414503</v>
      </c>
      <c r="J53">
        <v>-6.3596014844081301</v>
      </c>
      <c r="K53">
        <v>6.625</v>
      </c>
      <c r="L53">
        <v>-473.335564507497</v>
      </c>
      <c r="M53">
        <v>385.98837554868999</v>
      </c>
      <c r="N53">
        <v>0.208533843191677</v>
      </c>
      <c r="O53">
        <v>1053.0517537933799</v>
      </c>
      <c r="P53">
        <v>1.45361024782385</v>
      </c>
      <c r="Q53">
        <v>-0.54922801800666798</v>
      </c>
      <c r="R53">
        <v>-246.02092999999999</v>
      </c>
      <c r="S53">
        <v>34.89</v>
      </c>
      <c r="T53">
        <f t="shared" si="0"/>
        <v>0</v>
      </c>
      <c r="U53">
        <f t="shared" si="1"/>
        <v>0</v>
      </c>
      <c r="V53">
        <f t="shared" si="2"/>
        <v>0</v>
      </c>
      <c r="W53">
        <f t="shared" si="3"/>
        <v>0</v>
      </c>
      <c r="X53">
        <f t="shared" si="4"/>
        <v>0</v>
      </c>
      <c r="Y53">
        <f t="shared" si="5"/>
        <v>0</v>
      </c>
    </row>
    <row r="54" spans="1:25" hidden="1" x14ac:dyDescent="0.35">
      <c r="A54">
        <v>52</v>
      </c>
      <c r="C54" t="s">
        <v>124</v>
      </c>
      <c r="D54" t="s">
        <v>125</v>
      </c>
      <c r="E54" s="1">
        <v>36418</v>
      </c>
      <c r="F54" t="s">
        <v>21</v>
      </c>
      <c r="G54">
        <v>22186</v>
      </c>
      <c r="H54">
        <v>-663.089208693145</v>
      </c>
      <c r="I54">
        <v>5.2762640407037402</v>
      </c>
      <c r="J54">
        <v>6.6308920869314498</v>
      </c>
      <c r="K54">
        <v>3.4870000000000001</v>
      </c>
      <c r="L54">
        <v>172.70719722428399</v>
      </c>
      <c r="M54">
        <v>542.45208015128401</v>
      </c>
      <c r="N54">
        <v>4.5606531457584101</v>
      </c>
      <c r="O54">
        <v>1031.8341147020201</v>
      </c>
      <c r="P54">
        <v>6.1253508598403599</v>
      </c>
      <c r="Q54">
        <v>-9.4225290309927295E-2</v>
      </c>
      <c r="R54">
        <v>-231.01079999999999</v>
      </c>
      <c r="S54">
        <v>39.01</v>
      </c>
      <c r="T54">
        <f t="shared" si="0"/>
        <v>0</v>
      </c>
      <c r="U54">
        <f t="shared" si="1"/>
        <v>0</v>
      </c>
      <c r="V54">
        <f t="shared" si="2"/>
        <v>0</v>
      </c>
      <c r="W54">
        <f t="shared" si="3"/>
        <v>0</v>
      </c>
      <c r="X54">
        <f t="shared" si="4"/>
        <v>0</v>
      </c>
      <c r="Y54">
        <f t="shared" si="5"/>
        <v>0</v>
      </c>
    </row>
    <row r="55" spans="1:25" hidden="1" x14ac:dyDescent="0.35">
      <c r="A55">
        <v>53</v>
      </c>
      <c r="C55" t="s">
        <v>126</v>
      </c>
      <c r="D55" t="s">
        <v>127</v>
      </c>
      <c r="E55" s="1">
        <v>36557</v>
      </c>
      <c r="F55" t="s">
        <v>24</v>
      </c>
      <c r="G55">
        <v>16983</v>
      </c>
      <c r="H55">
        <v>-255.96907980809101</v>
      </c>
      <c r="I55">
        <v>5.5710675096065696</v>
      </c>
      <c r="J55">
        <v>2.55969079808091</v>
      </c>
      <c r="K55">
        <v>6.3329999999999904</v>
      </c>
      <c r="L55">
        <v>419.31467218444902</v>
      </c>
      <c r="M55">
        <v>594.98751578948895</v>
      </c>
      <c r="N55">
        <v>3.3217651499927898</v>
      </c>
      <c r="O55">
        <v>1065.7628789405401</v>
      </c>
      <c r="P55">
        <v>8.92213871715877</v>
      </c>
      <c r="Q55">
        <v>-0.50357883204987997</v>
      </c>
      <c r="R55">
        <v>-230.21002999999999</v>
      </c>
      <c r="S55">
        <v>55.38</v>
      </c>
      <c r="T55">
        <f t="shared" si="0"/>
        <v>0</v>
      </c>
      <c r="U55">
        <f t="shared" si="1"/>
        <v>0</v>
      </c>
      <c r="V55">
        <f t="shared" si="2"/>
        <v>0</v>
      </c>
      <c r="W55">
        <f t="shared" si="3"/>
        <v>0</v>
      </c>
      <c r="X55">
        <f t="shared" si="4"/>
        <v>0</v>
      </c>
      <c r="Y55">
        <f t="shared" si="5"/>
        <v>0</v>
      </c>
    </row>
    <row r="56" spans="1:25" hidden="1" x14ac:dyDescent="0.35">
      <c r="A56">
        <v>54</v>
      </c>
      <c r="C56" t="s">
        <v>128</v>
      </c>
      <c r="D56" t="s">
        <v>129</v>
      </c>
      <c r="E56" s="1">
        <v>36761</v>
      </c>
      <c r="F56" t="s">
        <v>21</v>
      </c>
      <c r="G56">
        <v>37619</v>
      </c>
      <c r="H56">
        <v>505.48166658056198</v>
      </c>
      <c r="I56">
        <v>4.3843217483954904</v>
      </c>
      <c r="J56">
        <v>-5.0548166658056202</v>
      </c>
      <c r="K56">
        <v>6.3310000000000004</v>
      </c>
      <c r="L56">
        <v>-527.35808945327005</v>
      </c>
      <c r="M56">
        <v>384.959401264733</v>
      </c>
      <c r="N56">
        <v>4.6428872769417602</v>
      </c>
      <c r="O56">
        <v>1053.4793621348699</v>
      </c>
      <c r="P56">
        <v>4.6689277196457502</v>
      </c>
      <c r="Q56">
        <v>0.39703978751420299</v>
      </c>
      <c r="R56">
        <v>-243.36927</v>
      </c>
      <c r="S56">
        <v>-4.43</v>
      </c>
      <c r="T56">
        <f t="shared" si="0"/>
        <v>0</v>
      </c>
      <c r="U56">
        <f t="shared" si="1"/>
        <v>0</v>
      </c>
      <c r="V56">
        <f t="shared" si="2"/>
        <v>0</v>
      </c>
      <c r="W56">
        <f t="shared" si="3"/>
        <v>0</v>
      </c>
      <c r="X56">
        <f t="shared" si="4"/>
        <v>0</v>
      </c>
      <c r="Y56">
        <f t="shared" si="5"/>
        <v>0</v>
      </c>
    </row>
    <row r="57" spans="1:25" hidden="1" x14ac:dyDescent="0.35">
      <c r="A57">
        <v>55</v>
      </c>
      <c r="C57" t="s">
        <v>130</v>
      </c>
      <c r="D57" t="s">
        <v>131</v>
      </c>
      <c r="E57" s="1">
        <v>35932</v>
      </c>
      <c r="F57" t="s">
        <v>24</v>
      </c>
      <c r="G57">
        <v>42727</v>
      </c>
      <c r="H57">
        <v>-701.62680079412701</v>
      </c>
      <c r="I57">
        <v>-5.1207417228910304</v>
      </c>
      <c r="J57">
        <v>7.0162680079412798</v>
      </c>
      <c r="K57">
        <v>-2.6859999999999999</v>
      </c>
      <c r="L57">
        <v>-610.07581993156498</v>
      </c>
      <c r="M57">
        <v>366.46098243264902</v>
      </c>
      <c r="N57">
        <v>7.1875700523596198</v>
      </c>
      <c r="O57">
        <v>1048.14948953871</v>
      </c>
      <c r="P57">
        <v>8.4575205052831492</v>
      </c>
      <c r="Q57">
        <v>0.53738102999065096</v>
      </c>
      <c r="R57">
        <v>-246.17299</v>
      </c>
      <c r="S57">
        <v>-112.9</v>
      </c>
      <c r="T57">
        <f t="shared" si="0"/>
        <v>0</v>
      </c>
      <c r="U57">
        <f t="shared" si="1"/>
        <v>0</v>
      </c>
      <c r="V57">
        <f t="shared" si="2"/>
        <v>0</v>
      </c>
      <c r="W57">
        <f t="shared" si="3"/>
        <v>0</v>
      </c>
      <c r="X57">
        <f t="shared" si="4"/>
        <v>0</v>
      </c>
      <c r="Y57">
        <f t="shared" si="5"/>
        <v>0</v>
      </c>
    </row>
    <row r="58" spans="1:25" hidden="1" x14ac:dyDescent="0.35">
      <c r="A58">
        <v>56</v>
      </c>
      <c r="C58" t="s">
        <v>132</v>
      </c>
      <c r="D58" t="s">
        <v>87</v>
      </c>
      <c r="E58" s="1">
        <v>37121</v>
      </c>
      <c r="F58" t="s">
        <v>24</v>
      </c>
      <c r="G58">
        <v>38556</v>
      </c>
      <c r="H58">
        <v>-553.28250504980701</v>
      </c>
      <c r="I58">
        <v>-7.8702429668298297</v>
      </c>
      <c r="J58">
        <v>5.5328250504980696</v>
      </c>
      <c r="L58">
        <v>-370.40643424735799</v>
      </c>
      <c r="M58">
        <v>388.69477786882902</v>
      </c>
      <c r="N58">
        <v>6.6405496930382304</v>
      </c>
      <c r="O58">
        <v>1058.2171392496</v>
      </c>
      <c r="P58">
        <v>11.857212397025499</v>
      </c>
      <c r="Q58">
        <v>0.29577880362378101</v>
      </c>
      <c r="R58">
        <v>-250.14318</v>
      </c>
      <c r="S58">
        <v>-108.02</v>
      </c>
      <c r="T58">
        <f t="shared" si="0"/>
        <v>0</v>
      </c>
      <c r="U58">
        <f t="shared" si="1"/>
        <v>0</v>
      </c>
      <c r="V58">
        <f t="shared" si="2"/>
        <v>0</v>
      </c>
      <c r="W58">
        <f t="shared" si="3"/>
        <v>0</v>
      </c>
      <c r="X58">
        <f t="shared" si="4"/>
        <v>0</v>
      </c>
      <c r="Y58">
        <f t="shared" si="5"/>
        <v>0</v>
      </c>
    </row>
    <row r="59" spans="1:25" hidden="1" x14ac:dyDescent="0.35">
      <c r="A59">
        <v>57</v>
      </c>
      <c r="C59" t="s">
        <v>133</v>
      </c>
      <c r="D59" t="s">
        <v>134</v>
      </c>
      <c r="E59" s="1">
        <v>35972</v>
      </c>
      <c r="F59" t="s">
        <v>24</v>
      </c>
      <c r="G59">
        <v>61279</v>
      </c>
      <c r="H59">
        <v>-393.48852960038403</v>
      </c>
      <c r="I59">
        <v>3.8124110808950298</v>
      </c>
      <c r="J59">
        <v>3.9348852960038401</v>
      </c>
      <c r="K59">
        <v>6.0779999999999896</v>
      </c>
      <c r="L59">
        <v>581.40021233815503</v>
      </c>
      <c r="M59">
        <v>605.18556301145895</v>
      </c>
      <c r="N59">
        <v>5.0225282704943801</v>
      </c>
      <c r="O59">
        <v>1061.3678874035299</v>
      </c>
      <c r="P59">
        <v>7.0029868033225</v>
      </c>
      <c r="Q59">
        <v>-0.46167456688769898</v>
      </c>
      <c r="R59">
        <v>-231.79562000000001</v>
      </c>
      <c r="S59">
        <v>-38.630000000000003</v>
      </c>
      <c r="T59">
        <f t="shared" si="0"/>
        <v>0</v>
      </c>
      <c r="U59">
        <f t="shared" si="1"/>
        <v>0</v>
      </c>
      <c r="V59">
        <f t="shared" si="2"/>
        <v>0</v>
      </c>
      <c r="W59">
        <f t="shared" si="3"/>
        <v>0</v>
      </c>
      <c r="X59">
        <f t="shared" si="4"/>
        <v>0</v>
      </c>
      <c r="Y59">
        <f t="shared" si="5"/>
        <v>0</v>
      </c>
    </row>
    <row r="60" spans="1:25" hidden="1" x14ac:dyDescent="0.35">
      <c r="A60">
        <v>58</v>
      </c>
      <c r="C60" t="s">
        <v>135</v>
      </c>
      <c r="D60" t="s">
        <v>136</v>
      </c>
      <c r="E60" s="1">
        <v>37074</v>
      </c>
      <c r="F60" t="s">
        <v>21</v>
      </c>
      <c r="G60">
        <v>29026</v>
      </c>
      <c r="H60">
        <v>586.01138491073505</v>
      </c>
      <c r="I60">
        <v>2.3647154657380498</v>
      </c>
      <c r="J60">
        <v>-5.8601138491073499</v>
      </c>
      <c r="K60">
        <v>6.11</v>
      </c>
      <c r="L60">
        <v>-368.736237091394</v>
      </c>
      <c r="M60">
        <v>403.55236549958403</v>
      </c>
      <c r="N60">
        <v>8.2772852353766702</v>
      </c>
      <c r="O60">
        <v>1041.0212552794201</v>
      </c>
      <c r="P60">
        <v>8.3007268953305893</v>
      </c>
      <c r="Q60">
        <v>1.13590917868106</v>
      </c>
      <c r="R60">
        <v>-243.25871000000001</v>
      </c>
      <c r="S60">
        <v>-27.86</v>
      </c>
      <c r="T60">
        <f t="shared" si="0"/>
        <v>0</v>
      </c>
      <c r="U60">
        <f t="shared" si="1"/>
        <v>0</v>
      </c>
      <c r="V60">
        <f t="shared" si="2"/>
        <v>0</v>
      </c>
      <c r="W60">
        <f t="shared" si="3"/>
        <v>0</v>
      </c>
      <c r="X60">
        <f t="shared" si="4"/>
        <v>0</v>
      </c>
      <c r="Y60">
        <f t="shared" si="5"/>
        <v>0</v>
      </c>
    </row>
    <row r="61" spans="1:25" hidden="1" x14ac:dyDescent="0.35">
      <c r="A61">
        <v>59</v>
      </c>
      <c r="C61" t="s">
        <v>137</v>
      </c>
      <c r="D61" t="s">
        <v>138</v>
      </c>
      <c r="E61" s="1">
        <v>36260</v>
      </c>
      <c r="F61" t="s">
        <v>24</v>
      </c>
      <c r="G61">
        <v>37002</v>
      </c>
      <c r="H61">
        <v>534.08215082907395</v>
      </c>
      <c r="I61">
        <v>-4.6384931287897997</v>
      </c>
      <c r="J61">
        <v>-5.3408215082907402</v>
      </c>
      <c r="K61">
        <v>6.0970000000000004</v>
      </c>
      <c r="L61">
        <v>-507.038871529929</v>
      </c>
      <c r="M61">
        <v>580.65016016373397</v>
      </c>
      <c r="N61">
        <v>-4.4350889454224998</v>
      </c>
      <c r="O61">
        <v>957.63715501613694</v>
      </c>
      <c r="P61">
        <v>3.2261463733982798</v>
      </c>
      <c r="Q61">
        <v>-0.53700222256532704</v>
      </c>
      <c r="R61">
        <v>-251.34128000000001</v>
      </c>
      <c r="S61">
        <v>186.74</v>
      </c>
      <c r="T61">
        <f t="shared" si="0"/>
        <v>0</v>
      </c>
      <c r="U61">
        <f t="shared" si="1"/>
        <v>0</v>
      </c>
      <c r="V61">
        <f t="shared" si="2"/>
        <v>0</v>
      </c>
      <c r="W61">
        <f t="shared" si="3"/>
        <v>0</v>
      </c>
      <c r="X61">
        <f t="shared" si="4"/>
        <v>0</v>
      </c>
      <c r="Y61">
        <f t="shared" si="5"/>
        <v>0</v>
      </c>
    </row>
    <row r="62" spans="1:25" hidden="1" x14ac:dyDescent="0.35">
      <c r="A62">
        <v>60</v>
      </c>
      <c r="C62" t="s">
        <v>139</v>
      </c>
      <c r="D62" t="s">
        <v>140</v>
      </c>
      <c r="E62" s="1">
        <v>35453</v>
      </c>
      <c r="F62" t="s">
        <v>24</v>
      </c>
      <c r="G62">
        <v>43759</v>
      </c>
      <c r="H62">
        <v>422.90560945962397</v>
      </c>
      <c r="I62">
        <v>-6.9348939255389501</v>
      </c>
      <c r="J62">
        <v>-4.2290560945962401</v>
      </c>
      <c r="K62">
        <v>4.0860000000000003</v>
      </c>
      <c r="L62">
        <v>-329.577513679839</v>
      </c>
      <c r="M62">
        <v>569.30305322046695</v>
      </c>
      <c r="N62">
        <v>-4.0576665401314198</v>
      </c>
      <c r="O62">
        <v>944.07593608754598</v>
      </c>
      <c r="P62">
        <v>2.4943128799880698</v>
      </c>
      <c r="Q62">
        <v>0.24216500438937599</v>
      </c>
      <c r="R62">
        <v>-253.61265</v>
      </c>
      <c r="S62">
        <v>157.86000000000001</v>
      </c>
      <c r="T62">
        <f t="shared" si="0"/>
        <v>0</v>
      </c>
      <c r="U62">
        <f t="shared" si="1"/>
        <v>0</v>
      </c>
      <c r="V62">
        <f t="shared" si="2"/>
        <v>0</v>
      </c>
      <c r="W62">
        <f t="shared" si="3"/>
        <v>0</v>
      </c>
      <c r="X62">
        <f t="shared" si="4"/>
        <v>0</v>
      </c>
      <c r="Y62">
        <f t="shared" si="5"/>
        <v>0</v>
      </c>
    </row>
    <row r="63" spans="1:25" hidden="1" x14ac:dyDescent="0.35">
      <c r="A63">
        <v>61</v>
      </c>
      <c r="C63" t="s">
        <v>141</v>
      </c>
      <c r="D63" t="s">
        <v>142</v>
      </c>
      <c r="E63" s="1">
        <v>36797</v>
      </c>
      <c r="F63" t="s">
        <v>24</v>
      </c>
      <c r="G63">
        <v>70217</v>
      </c>
      <c r="H63">
        <v>625.355629558244</v>
      </c>
      <c r="I63">
        <v>-5.38696542199619</v>
      </c>
      <c r="J63">
        <v>-6.2535562955824497</v>
      </c>
      <c r="K63">
        <v>2.343</v>
      </c>
      <c r="L63">
        <v>-706.26997812880995</v>
      </c>
      <c r="M63">
        <v>621.54403731448201</v>
      </c>
      <c r="N63">
        <v>-5.2341204211843797</v>
      </c>
      <c r="O63">
        <v>944.54424752335694</v>
      </c>
      <c r="P63">
        <v>4.4722145774023501</v>
      </c>
      <c r="Q63">
        <v>2.2361024341143199</v>
      </c>
      <c r="R63">
        <v>-257.75981999999999</v>
      </c>
      <c r="S63">
        <v>205.46</v>
      </c>
      <c r="T63">
        <f t="shared" si="0"/>
        <v>0</v>
      </c>
      <c r="U63">
        <f t="shared" si="1"/>
        <v>0</v>
      </c>
      <c r="V63">
        <f t="shared" si="2"/>
        <v>0</v>
      </c>
      <c r="W63">
        <f t="shared" si="3"/>
        <v>0</v>
      </c>
      <c r="X63">
        <f t="shared" si="4"/>
        <v>0</v>
      </c>
      <c r="Y63">
        <f t="shared" si="5"/>
        <v>0</v>
      </c>
    </row>
    <row r="64" spans="1:25" hidden="1" x14ac:dyDescent="0.35">
      <c r="A64">
        <v>62</v>
      </c>
      <c r="C64" t="s">
        <v>143</v>
      </c>
      <c r="D64" t="s">
        <v>144</v>
      </c>
      <c r="E64" s="1">
        <v>35408</v>
      </c>
      <c r="F64" t="s">
        <v>24</v>
      </c>
      <c r="G64">
        <v>50906</v>
      </c>
      <c r="H64">
        <v>401.99268841200899</v>
      </c>
      <c r="I64">
        <v>4.2893891847241399</v>
      </c>
      <c r="J64">
        <v>-4.0199268841200899</v>
      </c>
      <c r="K64">
        <v>6.1269999999999998</v>
      </c>
      <c r="L64">
        <v>-351.72200921071197</v>
      </c>
      <c r="M64">
        <v>414.79882448372098</v>
      </c>
      <c r="N64">
        <v>6.7726856810139902</v>
      </c>
      <c r="O64">
        <v>1037.1641176836899</v>
      </c>
      <c r="P64">
        <v>4.8217398194235299</v>
      </c>
      <c r="Q64">
        <v>1.06971600372966</v>
      </c>
      <c r="R64">
        <v>-242.17409000000001</v>
      </c>
      <c r="S64">
        <v>-31.27</v>
      </c>
      <c r="T64">
        <f t="shared" si="0"/>
        <v>0</v>
      </c>
      <c r="U64">
        <f t="shared" si="1"/>
        <v>0</v>
      </c>
      <c r="V64">
        <f t="shared" si="2"/>
        <v>0</v>
      </c>
      <c r="W64">
        <f t="shared" si="3"/>
        <v>0</v>
      </c>
      <c r="X64">
        <f t="shared" si="4"/>
        <v>0</v>
      </c>
      <c r="Y64">
        <f t="shared" si="5"/>
        <v>0</v>
      </c>
    </row>
    <row r="65" spans="1:25" hidden="1" x14ac:dyDescent="0.35">
      <c r="A65">
        <v>63</v>
      </c>
      <c r="C65" t="s">
        <v>145</v>
      </c>
      <c r="D65" t="s">
        <v>146</v>
      </c>
      <c r="E65" s="1">
        <v>36493</v>
      </c>
      <c r="F65" t="s">
        <v>21</v>
      </c>
      <c r="G65">
        <v>46673</v>
      </c>
      <c r="H65">
        <v>461.146050939568</v>
      </c>
      <c r="I65">
        <v>5.0744626965048303</v>
      </c>
      <c r="J65">
        <v>-4.6114605093956804</v>
      </c>
      <c r="K65">
        <v>5.8650000000000002</v>
      </c>
      <c r="L65">
        <v>-490.807406826766</v>
      </c>
      <c r="M65">
        <v>391.22560891588699</v>
      </c>
      <c r="N65">
        <v>6.2675274039938804</v>
      </c>
      <c r="O65">
        <v>1048.9412033076901</v>
      </c>
      <c r="P65">
        <v>5.0157891510516501</v>
      </c>
      <c r="Q65">
        <v>1.4158307802821399</v>
      </c>
      <c r="R65">
        <v>-242.7843</v>
      </c>
      <c r="S65">
        <v>-23.7</v>
      </c>
      <c r="T65">
        <f t="shared" si="0"/>
        <v>0</v>
      </c>
      <c r="U65">
        <f t="shared" si="1"/>
        <v>0</v>
      </c>
      <c r="V65">
        <f t="shared" si="2"/>
        <v>0</v>
      </c>
      <c r="W65">
        <f t="shared" si="3"/>
        <v>0</v>
      </c>
      <c r="X65">
        <f t="shared" si="4"/>
        <v>0</v>
      </c>
      <c r="Y65">
        <f t="shared" si="5"/>
        <v>0</v>
      </c>
    </row>
    <row r="66" spans="1:25" hidden="1" x14ac:dyDescent="0.35">
      <c r="A66">
        <v>64</v>
      </c>
      <c r="C66" t="s">
        <v>147</v>
      </c>
      <c r="D66" t="s">
        <v>148</v>
      </c>
      <c r="E66" s="1">
        <v>35571</v>
      </c>
      <c r="F66" t="s">
        <v>24</v>
      </c>
      <c r="G66">
        <v>30996</v>
      </c>
      <c r="H66">
        <v>-579.44505877334495</v>
      </c>
      <c r="I66">
        <v>4.5992006922978304</v>
      </c>
      <c r="J66">
        <v>5.7944505877334498</v>
      </c>
      <c r="K66">
        <v>4.0149999999999997</v>
      </c>
      <c r="L66">
        <v>427.79197629985799</v>
      </c>
      <c r="M66">
        <v>564.83849095812002</v>
      </c>
      <c r="N66">
        <v>2.61782267641399</v>
      </c>
      <c r="O66">
        <v>1045.6104076976601</v>
      </c>
      <c r="P66">
        <v>5.34764433217142</v>
      </c>
      <c r="Q66">
        <v>0.401211381920069</v>
      </c>
      <c r="R66">
        <v>-231.72331</v>
      </c>
      <c r="S66">
        <v>31.7</v>
      </c>
      <c r="T66">
        <f t="shared" si="0"/>
        <v>0</v>
      </c>
      <c r="U66">
        <f t="shared" si="1"/>
        <v>0</v>
      </c>
      <c r="V66">
        <f t="shared" si="2"/>
        <v>0</v>
      </c>
      <c r="W66">
        <f t="shared" si="3"/>
        <v>0</v>
      </c>
      <c r="X66">
        <f t="shared" si="4"/>
        <v>0</v>
      </c>
      <c r="Y66">
        <f t="shared" si="5"/>
        <v>0</v>
      </c>
    </row>
    <row r="67" spans="1:25" hidden="1" x14ac:dyDescent="0.35">
      <c r="A67">
        <v>65</v>
      </c>
      <c r="C67" t="s">
        <v>149</v>
      </c>
      <c r="D67" t="s">
        <v>150</v>
      </c>
      <c r="E67" s="1">
        <v>35813</v>
      </c>
      <c r="F67" t="s">
        <v>24</v>
      </c>
      <c r="G67">
        <v>99744</v>
      </c>
      <c r="H67">
        <v>169.032673469435</v>
      </c>
      <c r="I67">
        <v>5.27110566642411</v>
      </c>
      <c r="J67">
        <v>-1.69032673469435</v>
      </c>
      <c r="K67">
        <v>3.536</v>
      </c>
      <c r="L67">
        <v>-759.06991949428198</v>
      </c>
      <c r="M67">
        <v>394.80332176283298</v>
      </c>
      <c r="N67">
        <v>2.43232936649291</v>
      </c>
      <c r="O67">
        <v>1079.70515914723</v>
      </c>
      <c r="P67">
        <v>1.77911356966416</v>
      </c>
      <c r="Q67">
        <v>-0.10931157314216</v>
      </c>
      <c r="R67">
        <v>-246.46014</v>
      </c>
      <c r="S67">
        <v>-64.38</v>
      </c>
      <c r="T67">
        <f t="shared" ref="T67:T130" si="6">IF(I67="",1,0)</f>
        <v>0</v>
      </c>
      <c r="U67">
        <f t="shared" ref="U67:U130" si="7">IF(J67="",1,0)</f>
        <v>0</v>
      </c>
      <c r="V67">
        <f t="shared" ref="V67:V130" si="8">IF(P67="",1,0)</f>
        <v>0</v>
      </c>
      <c r="W67">
        <f t="shared" ref="W67:W130" si="9">IF(R67="",1,0)</f>
        <v>0</v>
      </c>
      <c r="X67">
        <f t="shared" ref="X67:X130" si="10">IF(S67="",1,0)</f>
        <v>0</v>
      </c>
      <c r="Y67">
        <f t="shared" ref="Y67:Y130" si="11">--OR(T67:X67)</f>
        <v>0</v>
      </c>
    </row>
    <row r="68" spans="1:25" hidden="1" x14ac:dyDescent="0.35">
      <c r="A68">
        <v>66</v>
      </c>
      <c r="C68" t="s">
        <v>151</v>
      </c>
      <c r="D68" t="s">
        <v>152</v>
      </c>
      <c r="E68" s="1">
        <v>36957</v>
      </c>
      <c r="F68" t="s">
        <v>24</v>
      </c>
      <c r="G68">
        <v>47335</v>
      </c>
      <c r="I68">
        <v>5.0779302026711397</v>
      </c>
      <c r="J68">
        <v>-5.4786492431489</v>
      </c>
      <c r="K68">
        <v>7.2129999999999903</v>
      </c>
      <c r="L68">
        <v>-299.57272199131501</v>
      </c>
      <c r="M68">
        <v>388.53560103418101</v>
      </c>
      <c r="N68">
        <v>5.0130480000851003</v>
      </c>
      <c r="O68">
        <v>1035.6741778528401</v>
      </c>
      <c r="P68">
        <v>2.1614686714979601</v>
      </c>
      <c r="Q68">
        <v>6.3304672235968695E-2</v>
      </c>
      <c r="R68">
        <v>-242.73885999999999</v>
      </c>
      <c r="S68">
        <v>-16.690000000000001</v>
      </c>
      <c r="T68">
        <f t="shared" si="6"/>
        <v>0</v>
      </c>
      <c r="U68">
        <f t="shared" si="7"/>
        <v>0</v>
      </c>
      <c r="V68">
        <f t="shared" si="8"/>
        <v>0</v>
      </c>
      <c r="W68">
        <f t="shared" si="9"/>
        <v>0</v>
      </c>
      <c r="X68">
        <f t="shared" si="10"/>
        <v>0</v>
      </c>
      <c r="Y68">
        <f t="shared" si="11"/>
        <v>0</v>
      </c>
    </row>
    <row r="69" spans="1:25" hidden="1" x14ac:dyDescent="0.35">
      <c r="A69">
        <v>67</v>
      </c>
      <c r="C69" t="s">
        <v>153</v>
      </c>
      <c r="D69" t="s">
        <v>154</v>
      </c>
      <c r="E69" s="1">
        <v>35391</v>
      </c>
      <c r="F69" t="s">
        <v>21</v>
      </c>
      <c r="G69">
        <v>19600</v>
      </c>
      <c r="H69">
        <v>-386.29463649599501</v>
      </c>
      <c r="I69">
        <v>4.9137904269088297</v>
      </c>
      <c r="J69">
        <v>3.8629463649599498</v>
      </c>
      <c r="K69">
        <v>5.27</v>
      </c>
      <c r="L69">
        <v>176.653516649496</v>
      </c>
      <c r="M69">
        <v>573.22777608047704</v>
      </c>
      <c r="N69">
        <v>5.7397201121139796</v>
      </c>
      <c r="O69">
        <v>1062.7926977284501</v>
      </c>
      <c r="P69">
        <v>10.4031667820056</v>
      </c>
      <c r="Q69">
        <v>-0.21501250690517101</v>
      </c>
      <c r="R69">
        <v>-230.59800999999999</v>
      </c>
      <c r="S69">
        <v>26.41</v>
      </c>
      <c r="T69">
        <f t="shared" si="6"/>
        <v>0</v>
      </c>
      <c r="U69">
        <f t="shared" si="7"/>
        <v>0</v>
      </c>
      <c r="V69">
        <f t="shared" si="8"/>
        <v>0</v>
      </c>
      <c r="W69">
        <f t="shared" si="9"/>
        <v>0</v>
      </c>
      <c r="X69">
        <f t="shared" si="10"/>
        <v>0</v>
      </c>
      <c r="Y69">
        <f t="shared" si="11"/>
        <v>0</v>
      </c>
    </row>
    <row r="70" spans="1:25" hidden="1" x14ac:dyDescent="0.35">
      <c r="A70">
        <v>68</v>
      </c>
      <c r="C70" t="s">
        <v>155</v>
      </c>
      <c r="D70" t="s">
        <v>156</v>
      </c>
      <c r="E70" s="1">
        <v>36404</v>
      </c>
      <c r="F70" t="s">
        <v>21</v>
      </c>
      <c r="G70">
        <v>44162</v>
      </c>
      <c r="H70">
        <v>472.07096738906603</v>
      </c>
      <c r="I70">
        <v>5.07416974376574</v>
      </c>
      <c r="J70">
        <v>-4.72070967389066</v>
      </c>
      <c r="K70">
        <v>3.1819999999999999</v>
      </c>
      <c r="L70">
        <v>-238.91552199062801</v>
      </c>
      <c r="M70">
        <v>405.99224094978399</v>
      </c>
      <c r="N70">
        <v>6.7186099595673099</v>
      </c>
      <c r="O70">
        <v>1026.8190085203901</v>
      </c>
      <c r="P70">
        <v>5.4639693024339504</v>
      </c>
      <c r="R70">
        <v>-244.23384999999999</v>
      </c>
      <c r="S70">
        <v>-1.89</v>
      </c>
      <c r="T70">
        <f t="shared" si="6"/>
        <v>0</v>
      </c>
      <c r="U70">
        <f t="shared" si="7"/>
        <v>0</v>
      </c>
      <c r="V70">
        <f t="shared" si="8"/>
        <v>0</v>
      </c>
      <c r="W70">
        <f t="shared" si="9"/>
        <v>0</v>
      </c>
      <c r="X70">
        <f t="shared" si="10"/>
        <v>0</v>
      </c>
      <c r="Y70">
        <f t="shared" si="11"/>
        <v>0</v>
      </c>
    </row>
    <row r="71" spans="1:25" hidden="1" x14ac:dyDescent="0.35">
      <c r="A71">
        <v>69</v>
      </c>
      <c r="C71" t="s">
        <v>157</v>
      </c>
      <c r="D71" t="s">
        <v>158</v>
      </c>
      <c r="E71" s="1">
        <v>36306</v>
      </c>
      <c r="F71" t="s">
        <v>21</v>
      </c>
      <c r="G71">
        <v>68534</v>
      </c>
      <c r="H71">
        <v>-505.34766606599197</v>
      </c>
      <c r="I71">
        <v>5.2688690268513803</v>
      </c>
      <c r="J71">
        <v>5.0534766606599204</v>
      </c>
      <c r="K71">
        <v>5.17</v>
      </c>
      <c r="L71">
        <v>614.27765036787196</v>
      </c>
      <c r="M71">
        <v>632.15574304146696</v>
      </c>
      <c r="N71">
        <v>4.5765936974485397</v>
      </c>
      <c r="O71">
        <v>1042.1312977039199</v>
      </c>
      <c r="P71">
        <v>5.7840116443757701</v>
      </c>
      <c r="Q71">
        <v>0.40052582915257201</v>
      </c>
      <c r="R71">
        <v>-231.12391</v>
      </c>
      <c r="S71">
        <v>-10.76</v>
      </c>
      <c r="T71">
        <f t="shared" si="6"/>
        <v>0</v>
      </c>
      <c r="U71">
        <f t="shared" si="7"/>
        <v>0</v>
      </c>
      <c r="V71">
        <f t="shared" si="8"/>
        <v>0</v>
      </c>
      <c r="W71">
        <f t="shared" si="9"/>
        <v>0</v>
      </c>
      <c r="X71">
        <f t="shared" si="10"/>
        <v>0</v>
      </c>
      <c r="Y71">
        <f t="shared" si="11"/>
        <v>0</v>
      </c>
    </row>
    <row r="72" spans="1:25" hidden="1" x14ac:dyDescent="0.35">
      <c r="A72">
        <v>70</v>
      </c>
      <c r="C72" t="s">
        <v>159</v>
      </c>
      <c r="D72" t="s">
        <v>160</v>
      </c>
      <c r="E72" s="1">
        <v>35822</v>
      </c>
      <c r="F72" t="s">
        <v>21</v>
      </c>
      <c r="G72">
        <v>41725</v>
      </c>
      <c r="H72">
        <v>-546.20340608025197</v>
      </c>
      <c r="I72">
        <v>-6.2962416541082602</v>
      </c>
      <c r="J72">
        <v>5.4620340608025204</v>
      </c>
      <c r="K72">
        <v>-4.25</v>
      </c>
      <c r="L72">
        <v>-223.80795201939799</v>
      </c>
      <c r="M72">
        <v>427.244902700502</v>
      </c>
      <c r="N72">
        <v>5.4857241372404797</v>
      </c>
      <c r="O72">
        <v>1034.9305517130399</v>
      </c>
      <c r="P72">
        <v>9.5585480922385901</v>
      </c>
      <c r="Q72">
        <v>3.2055252352099401</v>
      </c>
      <c r="R72">
        <v>-248.38773</v>
      </c>
      <c r="S72">
        <v>-68.97</v>
      </c>
      <c r="T72">
        <f t="shared" si="6"/>
        <v>0</v>
      </c>
      <c r="U72">
        <f t="shared" si="7"/>
        <v>0</v>
      </c>
      <c r="V72">
        <f t="shared" si="8"/>
        <v>0</v>
      </c>
      <c r="W72">
        <f t="shared" si="9"/>
        <v>0</v>
      </c>
      <c r="X72">
        <f t="shared" si="10"/>
        <v>0</v>
      </c>
      <c r="Y72">
        <f t="shared" si="11"/>
        <v>0</v>
      </c>
    </row>
    <row r="73" spans="1:25" hidden="1" x14ac:dyDescent="0.35">
      <c r="A73">
        <v>71</v>
      </c>
      <c r="C73" t="s">
        <v>161</v>
      </c>
      <c r="D73" t="s">
        <v>162</v>
      </c>
      <c r="E73" s="1">
        <v>36729</v>
      </c>
      <c r="F73" t="s">
        <v>21</v>
      </c>
      <c r="G73">
        <v>57714</v>
      </c>
      <c r="H73">
        <v>-388.38553201944399</v>
      </c>
      <c r="I73">
        <v>-5.34348280951198</v>
      </c>
      <c r="J73">
        <v>3.8838553201944399</v>
      </c>
      <c r="K73">
        <v>-6.9420000000000002</v>
      </c>
      <c r="L73">
        <v>-545.60862298222401</v>
      </c>
      <c r="M73">
        <v>390.62257349562702</v>
      </c>
      <c r="N73">
        <v>2.8406145521474699</v>
      </c>
      <c r="O73">
        <v>1073.1956048703</v>
      </c>
      <c r="P73">
        <v>10.0679261980381</v>
      </c>
      <c r="Q73">
        <v>1.0421553396969401</v>
      </c>
      <c r="R73">
        <v>-253.65697</v>
      </c>
      <c r="S73">
        <v>-65.400000000000006</v>
      </c>
      <c r="T73">
        <f t="shared" si="6"/>
        <v>0</v>
      </c>
      <c r="U73">
        <f t="shared" si="7"/>
        <v>0</v>
      </c>
      <c r="V73">
        <f t="shared" si="8"/>
        <v>0</v>
      </c>
      <c r="W73">
        <f t="shared" si="9"/>
        <v>0</v>
      </c>
      <c r="X73">
        <f t="shared" si="10"/>
        <v>0</v>
      </c>
      <c r="Y73">
        <f t="shared" si="11"/>
        <v>0</v>
      </c>
    </row>
    <row r="74" spans="1:25" hidden="1" x14ac:dyDescent="0.35">
      <c r="A74">
        <v>72</v>
      </c>
      <c r="C74" t="s">
        <v>163</v>
      </c>
      <c r="D74" t="s">
        <v>164</v>
      </c>
      <c r="E74" s="1">
        <v>35429</v>
      </c>
      <c r="F74" t="s">
        <v>24</v>
      </c>
      <c r="H74">
        <v>734.78341673733598</v>
      </c>
      <c r="I74">
        <v>-3.7442742357750398</v>
      </c>
      <c r="J74">
        <v>-7.3478341673733603</v>
      </c>
      <c r="K74">
        <v>5.3840000000000003</v>
      </c>
      <c r="L74">
        <v>-616.08134962671397</v>
      </c>
      <c r="M74">
        <v>604.67527532075098</v>
      </c>
      <c r="N74">
        <v>-4.7865485180040901</v>
      </c>
      <c r="O74">
        <v>951.29049088750799</v>
      </c>
      <c r="P74">
        <v>3.6766775385105501</v>
      </c>
      <c r="R74">
        <v>-254.08185</v>
      </c>
      <c r="S74">
        <v>208.13</v>
      </c>
      <c r="T74">
        <f t="shared" si="6"/>
        <v>0</v>
      </c>
      <c r="U74">
        <f t="shared" si="7"/>
        <v>0</v>
      </c>
      <c r="V74">
        <f t="shared" si="8"/>
        <v>0</v>
      </c>
      <c r="W74">
        <f t="shared" si="9"/>
        <v>0</v>
      </c>
      <c r="X74">
        <f t="shared" si="10"/>
        <v>0</v>
      </c>
      <c r="Y74">
        <f t="shared" si="11"/>
        <v>0</v>
      </c>
    </row>
    <row r="75" spans="1:25" hidden="1" x14ac:dyDescent="0.35">
      <c r="A75">
        <v>73</v>
      </c>
      <c r="C75" t="s">
        <v>165</v>
      </c>
      <c r="D75" t="s">
        <v>166</v>
      </c>
      <c r="E75" s="1">
        <v>35757</v>
      </c>
      <c r="F75" t="s">
        <v>21</v>
      </c>
      <c r="G75">
        <v>32066</v>
      </c>
      <c r="H75">
        <v>-409.72630323416303</v>
      </c>
      <c r="I75">
        <v>6.0365017659388798</v>
      </c>
      <c r="J75">
        <v>4.0972630323416297</v>
      </c>
      <c r="K75">
        <v>5.4169999999999998</v>
      </c>
      <c r="L75">
        <v>169.47764257692</v>
      </c>
      <c r="M75">
        <v>581.40469547968996</v>
      </c>
      <c r="N75">
        <v>5.4015595575995103</v>
      </c>
      <c r="O75">
        <v>1036.3161067793601</v>
      </c>
      <c r="P75">
        <v>7.6391745310570398</v>
      </c>
      <c r="Q75">
        <v>6.7167744857559206E-2</v>
      </c>
      <c r="R75">
        <v>-230.78352000000001</v>
      </c>
      <c r="S75">
        <v>40.68</v>
      </c>
      <c r="T75">
        <f t="shared" si="6"/>
        <v>0</v>
      </c>
      <c r="U75">
        <f t="shared" si="7"/>
        <v>0</v>
      </c>
      <c r="V75">
        <f t="shared" si="8"/>
        <v>0</v>
      </c>
      <c r="W75">
        <f t="shared" si="9"/>
        <v>0</v>
      </c>
      <c r="X75">
        <f t="shared" si="10"/>
        <v>0</v>
      </c>
      <c r="Y75">
        <f t="shared" si="11"/>
        <v>0</v>
      </c>
    </row>
    <row r="76" spans="1:25" hidden="1" x14ac:dyDescent="0.35">
      <c r="A76">
        <v>74</v>
      </c>
      <c r="C76" t="s">
        <v>167</v>
      </c>
      <c r="D76" t="s">
        <v>168</v>
      </c>
      <c r="E76" s="1">
        <v>36418</v>
      </c>
      <c r="F76" t="s">
        <v>24</v>
      </c>
      <c r="G76">
        <v>54865</v>
      </c>
      <c r="H76">
        <v>353.05436206068998</v>
      </c>
      <c r="I76">
        <v>-3.9697355783074002</v>
      </c>
      <c r="J76">
        <v>-3.5305436206068999</v>
      </c>
      <c r="K76">
        <v>6.452</v>
      </c>
      <c r="L76">
        <v>-288.70531607573298</v>
      </c>
      <c r="M76">
        <v>625.86568965320896</v>
      </c>
      <c r="O76">
        <v>961.88944208648604</v>
      </c>
      <c r="P76">
        <v>1.6006626102113899</v>
      </c>
      <c r="Q76">
        <v>0.33038093771924398</v>
      </c>
      <c r="R76">
        <v>-249.4093</v>
      </c>
      <c r="S76">
        <v>178.29</v>
      </c>
      <c r="T76">
        <f t="shared" si="6"/>
        <v>0</v>
      </c>
      <c r="U76">
        <f t="shared" si="7"/>
        <v>0</v>
      </c>
      <c r="V76">
        <f t="shared" si="8"/>
        <v>0</v>
      </c>
      <c r="W76">
        <f t="shared" si="9"/>
        <v>0</v>
      </c>
      <c r="X76">
        <f t="shared" si="10"/>
        <v>0</v>
      </c>
      <c r="Y76">
        <f t="shared" si="11"/>
        <v>0</v>
      </c>
    </row>
    <row r="77" spans="1:25" hidden="1" x14ac:dyDescent="0.35">
      <c r="A77">
        <v>75</v>
      </c>
      <c r="C77" t="s">
        <v>169</v>
      </c>
      <c r="D77" t="s">
        <v>170</v>
      </c>
      <c r="E77" s="1">
        <v>36293</v>
      </c>
      <c r="F77" t="s">
        <v>24</v>
      </c>
      <c r="G77">
        <v>44605</v>
      </c>
      <c r="H77">
        <v>513.05518201336395</v>
      </c>
      <c r="I77">
        <v>5.7963470108552801</v>
      </c>
      <c r="J77">
        <v>-5.1305518201336398</v>
      </c>
      <c r="K77">
        <v>6.3129999999999997</v>
      </c>
      <c r="L77">
        <v>-413.81052102843</v>
      </c>
      <c r="M77">
        <v>451.37464577928102</v>
      </c>
      <c r="N77">
        <v>4.9735130704299904</v>
      </c>
      <c r="O77">
        <v>1032.9674744443701</v>
      </c>
      <c r="P77">
        <v>5.3126412769570104</v>
      </c>
      <c r="R77">
        <v>-242.00769</v>
      </c>
      <c r="S77">
        <v>32.94</v>
      </c>
      <c r="T77">
        <f t="shared" si="6"/>
        <v>0</v>
      </c>
      <c r="U77">
        <f t="shared" si="7"/>
        <v>0</v>
      </c>
      <c r="V77">
        <f t="shared" si="8"/>
        <v>0</v>
      </c>
      <c r="W77">
        <f t="shared" si="9"/>
        <v>0</v>
      </c>
      <c r="X77">
        <f t="shared" si="10"/>
        <v>0</v>
      </c>
      <c r="Y77">
        <f t="shared" si="11"/>
        <v>0</v>
      </c>
    </row>
    <row r="78" spans="1:25" hidden="1" x14ac:dyDescent="0.35">
      <c r="A78">
        <v>76</v>
      </c>
      <c r="C78" t="s">
        <v>171</v>
      </c>
      <c r="D78" t="s">
        <v>172</v>
      </c>
      <c r="E78" s="1">
        <v>36170</v>
      </c>
      <c r="F78" t="s">
        <v>24</v>
      </c>
      <c r="G78">
        <v>35535</v>
      </c>
      <c r="H78">
        <v>582.90329498623305</v>
      </c>
      <c r="I78">
        <v>4.84154885392506</v>
      </c>
      <c r="J78">
        <v>-5.8290329498623299</v>
      </c>
      <c r="K78">
        <v>2.992</v>
      </c>
      <c r="L78">
        <v>-386.91347098638801</v>
      </c>
      <c r="M78">
        <v>433.45515167949799</v>
      </c>
      <c r="N78">
        <v>3.72678765801261</v>
      </c>
      <c r="O78">
        <v>1035.05139589142</v>
      </c>
      <c r="P78">
        <v>6.5494069236963002</v>
      </c>
      <c r="Q78">
        <v>0.93613944507078295</v>
      </c>
      <c r="R78">
        <v>-245.83222000000001</v>
      </c>
      <c r="S78">
        <v>58.99</v>
      </c>
      <c r="T78">
        <f t="shared" si="6"/>
        <v>0</v>
      </c>
      <c r="U78">
        <f t="shared" si="7"/>
        <v>0</v>
      </c>
      <c r="V78">
        <f t="shared" si="8"/>
        <v>0</v>
      </c>
      <c r="W78">
        <f t="shared" si="9"/>
        <v>0</v>
      </c>
      <c r="X78">
        <f t="shared" si="10"/>
        <v>0</v>
      </c>
      <c r="Y78">
        <f t="shared" si="11"/>
        <v>0</v>
      </c>
    </row>
    <row r="79" spans="1:25" hidden="1" x14ac:dyDescent="0.35">
      <c r="A79">
        <v>77</v>
      </c>
      <c r="C79" t="s">
        <v>173</v>
      </c>
      <c r="D79" t="s">
        <v>174</v>
      </c>
      <c r="E79" s="1">
        <v>35722</v>
      </c>
      <c r="F79" t="s">
        <v>21</v>
      </c>
      <c r="H79">
        <v>291.02204797149699</v>
      </c>
      <c r="I79">
        <v>-6.2554499481178301</v>
      </c>
      <c r="J79">
        <v>-2.9102204797149702</v>
      </c>
      <c r="K79">
        <v>3.9510000000000001</v>
      </c>
      <c r="L79">
        <v>-466.28149780085198</v>
      </c>
      <c r="M79">
        <v>593.49031726479302</v>
      </c>
      <c r="N79">
        <v>-5.19195443734103</v>
      </c>
      <c r="O79">
        <v>944.93933904037306</v>
      </c>
      <c r="P79">
        <v>0.94874340746049002</v>
      </c>
      <c r="Q79">
        <v>1.64918222109146</v>
      </c>
      <c r="R79">
        <v>-254.0018</v>
      </c>
      <c r="S79">
        <v>151.97</v>
      </c>
      <c r="T79">
        <f t="shared" si="6"/>
        <v>0</v>
      </c>
      <c r="U79">
        <f t="shared" si="7"/>
        <v>0</v>
      </c>
      <c r="V79">
        <f t="shared" si="8"/>
        <v>0</v>
      </c>
      <c r="W79">
        <f t="shared" si="9"/>
        <v>0</v>
      </c>
      <c r="X79">
        <f t="shared" si="10"/>
        <v>0</v>
      </c>
      <c r="Y79">
        <f t="shared" si="11"/>
        <v>0</v>
      </c>
    </row>
    <row r="80" spans="1:25" hidden="1" x14ac:dyDescent="0.35">
      <c r="A80">
        <v>78</v>
      </c>
      <c r="C80" t="s">
        <v>175</v>
      </c>
      <c r="D80" t="s">
        <v>176</v>
      </c>
      <c r="E80" s="1">
        <v>35407</v>
      </c>
      <c r="F80" t="s">
        <v>24</v>
      </c>
      <c r="G80">
        <v>4536</v>
      </c>
      <c r="H80">
        <v>-385.77697048030501</v>
      </c>
      <c r="I80">
        <v>3.0499004362087501</v>
      </c>
      <c r="J80">
        <v>3.8577697048030499</v>
      </c>
      <c r="K80">
        <v>4.3609999999999998</v>
      </c>
      <c r="L80">
        <v>333.726411710815</v>
      </c>
      <c r="M80">
        <v>562.31802671621597</v>
      </c>
      <c r="N80">
        <v>3.5175620581207201</v>
      </c>
      <c r="P80">
        <v>9.9267029674830294</v>
      </c>
      <c r="Q80">
        <v>2.2523697400150402</v>
      </c>
      <c r="R80">
        <v>-232.14037999999999</v>
      </c>
      <c r="S80">
        <v>46.8</v>
      </c>
      <c r="T80">
        <f t="shared" si="6"/>
        <v>0</v>
      </c>
      <c r="U80">
        <f t="shared" si="7"/>
        <v>0</v>
      </c>
      <c r="V80">
        <f t="shared" si="8"/>
        <v>0</v>
      </c>
      <c r="W80">
        <f t="shared" si="9"/>
        <v>0</v>
      </c>
      <c r="X80">
        <f t="shared" si="10"/>
        <v>0</v>
      </c>
      <c r="Y80">
        <f t="shared" si="11"/>
        <v>0</v>
      </c>
    </row>
    <row r="81" spans="1:26" hidden="1" x14ac:dyDescent="0.35">
      <c r="A81">
        <v>79</v>
      </c>
      <c r="C81" t="s">
        <v>177</v>
      </c>
      <c r="D81" t="s">
        <v>178</v>
      </c>
      <c r="E81" s="1">
        <v>35556</v>
      </c>
      <c r="F81" t="s">
        <v>24</v>
      </c>
      <c r="G81">
        <v>37200</v>
      </c>
      <c r="I81">
        <v>-5.0047764960077901</v>
      </c>
      <c r="J81">
        <v>-6.05006270870921</v>
      </c>
      <c r="K81">
        <v>4.6890000000000001</v>
      </c>
      <c r="L81">
        <v>-947.76791669694205</v>
      </c>
      <c r="M81">
        <v>546.67789771269202</v>
      </c>
      <c r="N81">
        <v>-6.4117363931443201</v>
      </c>
      <c r="O81">
        <v>926.09163716379896</v>
      </c>
      <c r="P81">
        <v>0.87295004489810102</v>
      </c>
      <c r="Q81">
        <v>-0.91814020611805203</v>
      </c>
      <c r="R81">
        <v>-256.03311000000002</v>
      </c>
      <c r="S81">
        <v>240.57</v>
      </c>
      <c r="T81">
        <f t="shared" si="6"/>
        <v>0</v>
      </c>
      <c r="U81">
        <f t="shared" si="7"/>
        <v>0</v>
      </c>
      <c r="V81">
        <f t="shared" si="8"/>
        <v>0</v>
      </c>
      <c r="W81">
        <f t="shared" si="9"/>
        <v>0</v>
      </c>
      <c r="X81">
        <f t="shared" si="10"/>
        <v>0</v>
      </c>
      <c r="Y81">
        <f t="shared" si="11"/>
        <v>0</v>
      </c>
    </row>
    <row r="82" spans="1:26" hidden="1" x14ac:dyDescent="0.35">
      <c r="A82">
        <v>80</v>
      </c>
      <c r="C82" t="s">
        <v>179</v>
      </c>
      <c r="D82" t="s">
        <v>180</v>
      </c>
      <c r="E82" s="1">
        <v>36500</v>
      </c>
      <c r="F82" t="s">
        <v>21</v>
      </c>
      <c r="G82">
        <v>43735</v>
      </c>
      <c r="H82">
        <v>-628.37055461751197</v>
      </c>
      <c r="I82">
        <v>0.67302265592344201</v>
      </c>
      <c r="J82">
        <v>6.2837055461751197</v>
      </c>
      <c r="K82">
        <v>3.226</v>
      </c>
      <c r="L82">
        <v>693.80545751235195</v>
      </c>
      <c r="M82">
        <v>589.58529998291999</v>
      </c>
      <c r="N82">
        <v>4.4193976094279996</v>
      </c>
      <c r="O82">
        <v>1055.3137826602001</v>
      </c>
      <c r="P82">
        <v>7.9032625892856299</v>
      </c>
      <c r="Q82">
        <v>-0.92303488374364095</v>
      </c>
      <c r="R82">
        <v>-233.27417</v>
      </c>
      <c r="S82">
        <v>-35.9</v>
      </c>
      <c r="T82">
        <f t="shared" si="6"/>
        <v>0</v>
      </c>
      <c r="U82">
        <f t="shared" si="7"/>
        <v>0</v>
      </c>
      <c r="V82">
        <f t="shared" si="8"/>
        <v>0</v>
      </c>
      <c r="W82">
        <f t="shared" si="9"/>
        <v>0</v>
      </c>
      <c r="X82">
        <f t="shared" si="10"/>
        <v>0</v>
      </c>
      <c r="Y82">
        <f t="shared" si="11"/>
        <v>0</v>
      </c>
    </row>
    <row r="83" spans="1:26" hidden="1" x14ac:dyDescent="0.35">
      <c r="A83">
        <v>81</v>
      </c>
      <c r="C83" t="s">
        <v>181</v>
      </c>
      <c r="D83" t="s">
        <v>182</v>
      </c>
      <c r="E83" s="1">
        <v>36519</v>
      </c>
      <c r="F83" t="s">
        <v>21</v>
      </c>
      <c r="G83">
        <v>70453</v>
      </c>
      <c r="H83">
        <v>463.33865100442</v>
      </c>
      <c r="I83">
        <v>7.0145492510093899</v>
      </c>
      <c r="J83">
        <v>-4.6333865100442004</v>
      </c>
      <c r="K83">
        <v>3.5470000000000002</v>
      </c>
      <c r="L83">
        <v>-551.94749242995204</v>
      </c>
      <c r="M83">
        <v>352.06964277465698</v>
      </c>
      <c r="N83">
        <v>3.2098555788857799</v>
      </c>
      <c r="O83">
        <v>1058.3433690192501</v>
      </c>
      <c r="P83">
        <v>1.07493065890922</v>
      </c>
      <c r="Q83">
        <v>-0.227172731305023</v>
      </c>
      <c r="R83">
        <v>-246.36528000000001</v>
      </c>
      <c r="S83">
        <v>-23.88</v>
      </c>
      <c r="T83">
        <f t="shared" si="6"/>
        <v>0</v>
      </c>
      <c r="U83">
        <f t="shared" si="7"/>
        <v>0</v>
      </c>
      <c r="V83">
        <f t="shared" si="8"/>
        <v>0</v>
      </c>
      <c r="W83">
        <f t="shared" si="9"/>
        <v>0</v>
      </c>
      <c r="X83">
        <f t="shared" si="10"/>
        <v>0</v>
      </c>
      <c r="Y83">
        <f t="shared" si="11"/>
        <v>0</v>
      </c>
    </row>
    <row r="84" spans="1:26" hidden="1" x14ac:dyDescent="0.35">
      <c r="A84">
        <v>82</v>
      </c>
      <c r="C84" t="s">
        <v>183</v>
      </c>
      <c r="D84" t="s">
        <v>184</v>
      </c>
      <c r="E84" s="1">
        <v>36397</v>
      </c>
      <c r="F84" t="s">
        <v>24</v>
      </c>
      <c r="G84">
        <v>72488</v>
      </c>
      <c r="H84">
        <v>-334.86710315630302</v>
      </c>
      <c r="I84">
        <v>-6.5446879409317003</v>
      </c>
      <c r="J84">
        <v>3.3486710315630299</v>
      </c>
      <c r="K84">
        <v>-3.5150000000000001</v>
      </c>
      <c r="L84">
        <v>-671.25232744841696</v>
      </c>
      <c r="M84">
        <v>396.49807504685498</v>
      </c>
      <c r="N84">
        <v>5.6624878138028798</v>
      </c>
      <c r="O84">
        <v>1060.3837396469401</v>
      </c>
      <c r="P84">
        <v>9.6522187362630198</v>
      </c>
      <c r="Q84">
        <v>-0.64738765748121696</v>
      </c>
      <c r="R84">
        <v>-252.45307</v>
      </c>
      <c r="S84">
        <v>-117.57</v>
      </c>
      <c r="T84">
        <f t="shared" si="6"/>
        <v>0</v>
      </c>
      <c r="U84">
        <f t="shared" si="7"/>
        <v>0</v>
      </c>
      <c r="V84">
        <f t="shared" si="8"/>
        <v>0</v>
      </c>
      <c r="W84">
        <f t="shared" si="9"/>
        <v>0</v>
      </c>
      <c r="X84">
        <f t="shared" si="10"/>
        <v>0</v>
      </c>
      <c r="Y84">
        <f t="shared" si="11"/>
        <v>0</v>
      </c>
    </row>
    <row r="85" spans="1:26" hidden="1" x14ac:dyDescent="0.35">
      <c r="A85">
        <v>83</v>
      </c>
      <c r="C85" t="s">
        <v>185</v>
      </c>
      <c r="D85" t="s">
        <v>186</v>
      </c>
      <c r="E85" s="1">
        <v>35764</v>
      </c>
      <c r="F85" t="s">
        <v>21</v>
      </c>
      <c r="G85">
        <v>42474</v>
      </c>
      <c r="H85">
        <v>556.82098640824097</v>
      </c>
      <c r="I85">
        <v>-6.0252790405784902</v>
      </c>
      <c r="J85">
        <v>-5.5682098640824096</v>
      </c>
      <c r="K85">
        <v>4.1849999999999996</v>
      </c>
      <c r="L85">
        <v>-691.91080274788601</v>
      </c>
      <c r="M85">
        <v>573.64218458715095</v>
      </c>
      <c r="N85">
        <v>-4.0835719613447097</v>
      </c>
      <c r="O85">
        <v>943.71231580187998</v>
      </c>
      <c r="P85">
        <v>3.9852777841004201</v>
      </c>
      <c r="Q85">
        <v>0.88515736449857296</v>
      </c>
      <c r="R85">
        <v>-254.83519000000001</v>
      </c>
      <c r="S85">
        <v>192.17</v>
      </c>
      <c r="T85">
        <f t="shared" si="6"/>
        <v>0</v>
      </c>
      <c r="U85">
        <f t="shared" si="7"/>
        <v>0</v>
      </c>
      <c r="V85">
        <f t="shared" si="8"/>
        <v>0</v>
      </c>
      <c r="W85">
        <f t="shared" si="9"/>
        <v>0</v>
      </c>
      <c r="X85">
        <f t="shared" si="10"/>
        <v>0</v>
      </c>
      <c r="Y85">
        <f t="shared" si="11"/>
        <v>0</v>
      </c>
    </row>
    <row r="86" spans="1:26" x14ac:dyDescent="0.35">
      <c r="A86">
        <v>84</v>
      </c>
      <c r="C86" t="s">
        <v>187</v>
      </c>
      <c r="D86" t="s">
        <v>188</v>
      </c>
      <c r="E86" s="1">
        <v>36242</v>
      </c>
      <c r="F86" t="s">
        <v>21</v>
      </c>
      <c r="G86">
        <v>68654</v>
      </c>
      <c r="H86">
        <v>413.46080068485998</v>
      </c>
      <c r="J86">
        <v>-4.1346080068486</v>
      </c>
      <c r="K86">
        <v>5.4880000000000004</v>
      </c>
      <c r="L86">
        <v>-653.32991425002797</v>
      </c>
      <c r="M86">
        <v>600.09617872627803</v>
      </c>
      <c r="N86">
        <v>-6.7741234393893599</v>
      </c>
      <c r="O86">
        <v>948.69305294499702</v>
      </c>
      <c r="P86">
        <v>-0.125635983668517</v>
      </c>
      <c r="Q86">
        <v>0.36566239614564999</v>
      </c>
      <c r="R86">
        <v>-253.15144000000001</v>
      </c>
      <c r="S86">
        <v>192.49</v>
      </c>
      <c r="T86">
        <f t="shared" si="6"/>
        <v>1</v>
      </c>
      <c r="U86">
        <f t="shared" si="7"/>
        <v>0</v>
      </c>
      <c r="V86">
        <f t="shared" si="8"/>
        <v>0</v>
      </c>
      <c r="W86">
        <f t="shared" si="9"/>
        <v>0</v>
      </c>
      <c r="X86">
        <f t="shared" si="10"/>
        <v>0</v>
      </c>
      <c r="Y86">
        <f t="shared" si="11"/>
        <v>1</v>
      </c>
      <c r="Z86">
        <f>SUM(T86:X86)</f>
        <v>1</v>
      </c>
    </row>
    <row r="87" spans="1:26" hidden="1" x14ac:dyDescent="0.35">
      <c r="A87">
        <v>85</v>
      </c>
      <c r="C87" t="s">
        <v>189</v>
      </c>
      <c r="D87" t="s">
        <v>190</v>
      </c>
      <c r="E87" s="1">
        <v>36569</v>
      </c>
      <c r="F87" t="s">
        <v>21</v>
      </c>
      <c r="G87">
        <v>63385</v>
      </c>
      <c r="H87">
        <v>396.31772413995901</v>
      </c>
      <c r="I87">
        <v>3.5107419200927601</v>
      </c>
      <c r="J87">
        <v>-3.96317724139959</v>
      </c>
      <c r="K87">
        <v>4.593</v>
      </c>
      <c r="L87">
        <v>-407.494571329248</v>
      </c>
      <c r="M87">
        <v>396.53921122664798</v>
      </c>
      <c r="N87">
        <v>9.0954513356431299</v>
      </c>
      <c r="O87">
        <v>1047.99652341877</v>
      </c>
      <c r="P87">
        <v>6.7011455420403196</v>
      </c>
      <c r="Q87">
        <v>-0.26425327698269802</v>
      </c>
      <c r="R87">
        <v>-243.88771</v>
      </c>
      <c r="S87">
        <v>-82.53</v>
      </c>
      <c r="T87">
        <f t="shared" si="6"/>
        <v>0</v>
      </c>
      <c r="U87">
        <f t="shared" si="7"/>
        <v>0</v>
      </c>
      <c r="V87">
        <f t="shared" si="8"/>
        <v>0</v>
      </c>
      <c r="W87">
        <f t="shared" si="9"/>
        <v>0</v>
      </c>
      <c r="X87">
        <f t="shared" si="10"/>
        <v>0</v>
      </c>
      <c r="Y87">
        <f t="shared" si="11"/>
        <v>0</v>
      </c>
    </row>
    <row r="88" spans="1:26" hidden="1" x14ac:dyDescent="0.35">
      <c r="A88">
        <v>86</v>
      </c>
      <c r="C88" t="s">
        <v>191</v>
      </c>
      <c r="D88" t="s">
        <v>192</v>
      </c>
      <c r="E88" s="1">
        <v>37014</v>
      </c>
      <c r="F88" t="s">
        <v>24</v>
      </c>
      <c r="G88">
        <v>62249</v>
      </c>
      <c r="H88">
        <v>481.91542721515702</v>
      </c>
      <c r="I88">
        <v>3.63048979510519</v>
      </c>
      <c r="J88">
        <v>-4.8191542721515699</v>
      </c>
      <c r="K88">
        <v>3.7010000000000001</v>
      </c>
      <c r="L88">
        <v>-660.06570088099602</v>
      </c>
      <c r="M88">
        <v>468.52388582326302</v>
      </c>
      <c r="N88">
        <v>4.8104367110817403</v>
      </c>
      <c r="O88">
        <v>1058.94446269167</v>
      </c>
      <c r="P88">
        <v>8.9190976903714105</v>
      </c>
      <c r="Q88">
        <v>0.64700876888922898</v>
      </c>
      <c r="R88">
        <v>-246.06210999999999</v>
      </c>
      <c r="S88">
        <v>10.49</v>
      </c>
      <c r="T88">
        <f t="shared" si="6"/>
        <v>0</v>
      </c>
      <c r="U88">
        <f t="shared" si="7"/>
        <v>0</v>
      </c>
      <c r="V88">
        <f t="shared" si="8"/>
        <v>0</v>
      </c>
      <c r="W88">
        <f t="shared" si="9"/>
        <v>0</v>
      </c>
      <c r="X88">
        <f t="shared" si="10"/>
        <v>0</v>
      </c>
      <c r="Y88">
        <f t="shared" si="11"/>
        <v>0</v>
      </c>
    </row>
    <row r="89" spans="1:26" hidden="1" x14ac:dyDescent="0.35">
      <c r="A89">
        <v>87</v>
      </c>
      <c r="C89" t="s">
        <v>193</v>
      </c>
      <c r="D89" t="s">
        <v>194</v>
      </c>
      <c r="E89" s="1">
        <v>36407</v>
      </c>
      <c r="F89" t="s">
        <v>24</v>
      </c>
      <c r="G89">
        <v>49230</v>
      </c>
      <c r="H89">
        <v>427.850260905043</v>
      </c>
      <c r="I89">
        <v>7.1443568243185904</v>
      </c>
      <c r="J89">
        <v>-4.2785026090504301</v>
      </c>
      <c r="K89">
        <v>4.4809999999999999</v>
      </c>
      <c r="L89">
        <v>-621.96087706089395</v>
      </c>
      <c r="M89">
        <v>396.90011842824703</v>
      </c>
      <c r="N89">
        <v>1.96221809049805</v>
      </c>
      <c r="O89">
        <v>1056.13210793188</v>
      </c>
      <c r="P89">
        <v>2.9166953623279399</v>
      </c>
      <c r="Q89">
        <v>0.60871797047892395</v>
      </c>
      <c r="R89">
        <v>-244.08299</v>
      </c>
      <c r="S89">
        <v>38.72</v>
      </c>
      <c r="T89">
        <f t="shared" si="6"/>
        <v>0</v>
      </c>
      <c r="U89">
        <f t="shared" si="7"/>
        <v>0</v>
      </c>
      <c r="V89">
        <f t="shared" si="8"/>
        <v>0</v>
      </c>
      <c r="W89">
        <f t="shared" si="9"/>
        <v>0</v>
      </c>
      <c r="X89">
        <f t="shared" si="10"/>
        <v>0</v>
      </c>
      <c r="Y89">
        <f t="shared" si="11"/>
        <v>0</v>
      </c>
    </row>
    <row r="90" spans="1:26" hidden="1" x14ac:dyDescent="0.35">
      <c r="A90">
        <v>88</v>
      </c>
      <c r="C90" t="s">
        <v>195</v>
      </c>
      <c r="D90" t="s">
        <v>196</v>
      </c>
      <c r="E90" s="1">
        <v>36389</v>
      </c>
      <c r="F90" t="s">
        <v>21</v>
      </c>
      <c r="G90">
        <v>59914</v>
      </c>
      <c r="H90">
        <v>-511.07625612745397</v>
      </c>
      <c r="I90">
        <v>6.7187537606327501</v>
      </c>
      <c r="J90">
        <v>5.11076256127454</v>
      </c>
      <c r="K90">
        <v>6.0979999999999999</v>
      </c>
      <c r="L90">
        <v>585.63365204342597</v>
      </c>
      <c r="M90">
        <v>554.75136764123397</v>
      </c>
      <c r="N90">
        <v>2.3894342491302401</v>
      </c>
      <c r="O90">
        <v>1040.68401446392</v>
      </c>
      <c r="P90">
        <v>0.63740452940463599</v>
      </c>
      <c r="Q90">
        <v>2.20463497279369</v>
      </c>
      <c r="R90">
        <v>-230.92878999999999</v>
      </c>
      <c r="S90">
        <v>-7.64</v>
      </c>
      <c r="T90">
        <f t="shared" si="6"/>
        <v>0</v>
      </c>
      <c r="U90">
        <f t="shared" si="7"/>
        <v>0</v>
      </c>
      <c r="V90">
        <f t="shared" si="8"/>
        <v>0</v>
      </c>
      <c r="W90">
        <f t="shared" si="9"/>
        <v>0</v>
      </c>
      <c r="X90">
        <f t="shared" si="10"/>
        <v>0</v>
      </c>
      <c r="Y90">
        <f t="shared" si="11"/>
        <v>0</v>
      </c>
    </row>
    <row r="91" spans="1:26" hidden="1" x14ac:dyDescent="0.35">
      <c r="A91">
        <v>89</v>
      </c>
      <c r="C91" t="s">
        <v>197</v>
      </c>
      <c r="D91" t="s">
        <v>198</v>
      </c>
      <c r="E91" s="1">
        <v>36777</v>
      </c>
      <c r="F91" t="s">
        <v>24</v>
      </c>
      <c r="G91">
        <v>46922</v>
      </c>
      <c r="H91">
        <v>-376.01723678679502</v>
      </c>
      <c r="I91">
        <v>8.2019822002626999</v>
      </c>
      <c r="J91">
        <v>3.7601723678679502</v>
      </c>
      <c r="K91">
        <v>6.0069999999999997</v>
      </c>
      <c r="L91">
        <v>485.34833356905801</v>
      </c>
      <c r="M91">
        <v>591.31775351214901</v>
      </c>
      <c r="N91">
        <v>4.4829761052280004</v>
      </c>
      <c r="O91">
        <v>1055.74671396186</v>
      </c>
      <c r="P91">
        <v>5.8664383121125896</v>
      </c>
      <c r="Q91">
        <v>-1.7399535473068</v>
      </c>
      <c r="R91">
        <v>-229.20374000000001</v>
      </c>
      <c r="S91">
        <v>18.48</v>
      </c>
      <c r="T91">
        <f t="shared" si="6"/>
        <v>0</v>
      </c>
      <c r="U91">
        <f t="shared" si="7"/>
        <v>0</v>
      </c>
      <c r="V91">
        <f t="shared" si="8"/>
        <v>0</v>
      </c>
      <c r="W91">
        <f t="shared" si="9"/>
        <v>0</v>
      </c>
      <c r="X91">
        <f t="shared" si="10"/>
        <v>0</v>
      </c>
      <c r="Y91">
        <f t="shared" si="11"/>
        <v>0</v>
      </c>
    </row>
    <row r="92" spans="1:26" hidden="1" x14ac:dyDescent="0.35">
      <c r="A92">
        <v>90</v>
      </c>
      <c r="C92" t="s">
        <v>199</v>
      </c>
      <c r="D92" t="s">
        <v>200</v>
      </c>
      <c r="E92" s="1">
        <v>35402</v>
      </c>
      <c r="F92" t="s">
        <v>24</v>
      </c>
      <c r="G92">
        <v>71589</v>
      </c>
      <c r="H92">
        <v>369.19526419876502</v>
      </c>
      <c r="I92">
        <v>4.5498091548239996</v>
      </c>
      <c r="J92">
        <v>-3.6919526419876498</v>
      </c>
      <c r="K92">
        <v>4.9359999999999999</v>
      </c>
      <c r="L92">
        <v>-541.643376207031</v>
      </c>
      <c r="M92">
        <v>415.24952241458101</v>
      </c>
      <c r="O92">
        <v>1058.92035422964</v>
      </c>
      <c r="P92">
        <v>1.89721121523063</v>
      </c>
      <c r="Q92">
        <v>0.30488171958302501</v>
      </c>
      <c r="R92">
        <v>-245.83824999999999</v>
      </c>
      <c r="S92">
        <v>-4.13</v>
      </c>
      <c r="T92">
        <f t="shared" si="6"/>
        <v>0</v>
      </c>
      <c r="U92">
        <f t="shared" si="7"/>
        <v>0</v>
      </c>
      <c r="V92">
        <f t="shared" si="8"/>
        <v>0</v>
      </c>
      <c r="W92">
        <f t="shared" si="9"/>
        <v>0</v>
      </c>
      <c r="X92">
        <f t="shared" si="10"/>
        <v>0</v>
      </c>
      <c r="Y92">
        <f t="shared" si="11"/>
        <v>0</v>
      </c>
    </row>
    <row r="93" spans="1:26" hidden="1" x14ac:dyDescent="0.35">
      <c r="A93">
        <v>91</v>
      </c>
      <c r="C93" t="s">
        <v>201</v>
      </c>
      <c r="D93" t="s">
        <v>202</v>
      </c>
      <c r="E93" s="1">
        <v>37165</v>
      </c>
      <c r="F93" t="s">
        <v>21</v>
      </c>
      <c r="G93">
        <v>37106</v>
      </c>
      <c r="H93">
        <v>-669.93736098970498</v>
      </c>
      <c r="I93">
        <v>-5.39387862157702</v>
      </c>
      <c r="J93">
        <v>6.6993736098970498</v>
      </c>
      <c r="K93">
        <v>-5.2119999999999997</v>
      </c>
      <c r="L93">
        <v>-830.79962666585402</v>
      </c>
      <c r="M93">
        <v>323.73424038519403</v>
      </c>
      <c r="N93">
        <v>7.3843145541119002</v>
      </c>
      <c r="O93">
        <v>1077.3145051178301</v>
      </c>
      <c r="P93">
        <v>11.1184879553846</v>
      </c>
      <c r="Q93">
        <v>-2.6686904479133501E-2</v>
      </c>
      <c r="R93">
        <v>-248.80565999999999</v>
      </c>
      <c r="S93">
        <v>-124.65</v>
      </c>
      <c r="T93">
        <f t="shared" si="6"/>
        <v>0</v>
      </c>
      <c r="U93">
        <f t="shared" si="7"/>
        <v>0</v>
      </c>
      <c r="V93">
        <f t="shared" si="8"/>
        <v>0</v>
      </c>
      <c r="W93">
        <f t="shared" si="9"/>
        <v>0</v>
      </c>
      <c r="X93">
        <f t="shared" si="10"/>
        <v>0</v>
      </c>
      <c r="Y93">
        <f t="shared" si="11"/>
        <v>0</v>
      </c>
    </row>
    <row r="94" spans="1:26" hidden="1" x14ac:dyDescent="0.35">
      <c r="A94">
        <v>92</v>
      </c>
      <c r="C94" t="s">
        <v>203</v>
      </c>
      <c r="D94" t="s">
        <v>204</v>
      </c>
      <c r="E94" s="1">
        <v>36309</v>
      </c>
      <c r="F94" t="s">
        <v>21</v>
      </c>
      <c r="G94">
        <v>70896</v>
      </c>
      <c r="H94">
        <v>477.20405354294002</v>
      </c>
      <c r="I94">
        <v>-6.3583157772680696</v>
      </c>
      <c r="J94">
        <v>-4.7720405354294</v>
      </c>
      <c r="K94">
        <v>2.6840000000000002</v>
      </c>
      <c r="L94">
        <v>-643.80211430386998</v>
      </c>
      <c r="M94">
        <v>580.10998791217503</v>
      </c>
      <c r="N94">
        <v>-5.26380598491036</v>
      </c>
      <c r="O94">
        <v>936.71650732063904</v>
      </c>
      <c r="P94">
        <v>1.56814786623734</v>
      </c>
      <c r="Q94">
        <v>0.14438190319071301</v>
      </c>
      <c r="R94">
        <v>-257.48158000000001</v>
      </c>
      <c r="S94">
        <v>171.99</v>
      </c>
      <c r="T94">
        <f t="shared" si="6"/>
        <v>0</v>
      </c>
      <c r="U94">
        <f t="shared" si="7"/>
        <v>0</v>
      </c>
      <c r="V94">
        <f t="shared" si="8"/>
        <v>0</v>
      </c>
      <c r="W94">
        <f t="shared" si="9"/>
        <v>0</v>
      </c>
      <c r="X94">
        <f t="shared" si="10"/>
        <v>0</v>
      </c>
      <c r="Y94">
        <f t="shared" si="11"/>
        <v>0</v>
      </c>
    </row>
    <row r="95" spans="1:26" hidden="1" x14ac:dyDescent="0.35">
      <c r="A95">
        <v>93</v>
      </c>
      <c r="C95" t="s">
        <v>171</v>
      </c>
      <c r="D95" t="s">
        <v>205</v>
      </c>
      <c r="E95" s="1">
        <v>36718</v>
      </c>
      <c r="F95" t="s">
        <v>21</v>
      </c>
      <c r="G95">
        <v>52045</v>
      </c>
      <c r="H95">
        <v>533.852526293756</v>
      </c>
      <c r="I95">
        <v>6.4923186275425104</v>
      </c>
      <c r="J95">
        <v>-5.3385252629375604</v>
      </c>
      <c r="K95">
        <v>3.9420000000000002</v>
      </c>
      <c r="M95">
        <v>418.64644510232301</v>
      </c>
      <c r="N95">
        <v>2.23240364459275</v>
      </c>
      <c r="O95">
        <v>1037.0172670089801</v>
      </c>
      <c r="P95">
        <v>2.71288002958274</v>
      </c>
      <c r="Q95">
        <v>-0.61302710846754205</v>
      </c>
      <c r="R95">
        <v>-245.25227000000001</v>
      </c>
      <c r="S95">
        <v>45.85</v>
      </c>
      <c r="T95">
        <f t="shared" si="6"/>
        <v>0</v>
      </c>
      <c r="U95">
        <f t="shared" si="7"/>
        <v>0</v>
      </c>
      <c r="V95">
        <f t="shared" si="8"/>
        <v>0</v>
      </c>
      <c r="W95">
        <f t="shared" si="9"/>
        <v>0</v>
      </c>
      <c r="X95">
        <f t="shared" si="10"/>
        <v>0</v>
      </c>
      <c r="Y95">
        <f t="shared" si="11"/>
        <v>0</v>
      </c>
    </row>
    <row r="96" spans="1:26" hidden="1" x14ac:dyDescent="0.35">
      <c r="A96">
        <v>94</v>
      </c>
      <c r="C96" t="s">
        <v>206</v>
      </c>
      <c r="D96" t="s">
        <v>207</v>
      </c>
      <c r="E96" s="1">
        <v>36031</v>
      </c>
      <c r="F96" t="s">
        <v>21</v>
      </c>
      <c r="G96">
        <v>46717</v>
      </c>
      <c r="H96">
        <v>-636.88181194167396</v>
      </c>
      <c r="I96">
        <v>6.1831904687334101</v>
      </c>
      <c r="J96">
        <v>6.3688181194167397</v>
      </c>
      <c r="K96">
        <v>4.8170000000000002</v>
      </c>
      <c r="L96">
        <v>770.38961754403294</v>
      </c>
      <c r="M96">
        <v>568.78927118301203</v>
      </c>
      <c r="N96">
        <v>5.7119482015158001</v>
      </c>
      <c r="O96">
        <v>1055.4915148288601</v>
      </c>
      <c r="P96">
        <v>5.19929502489338</v>
      </c>
      <c r="Q96">
        <v>1.36963155003668</v>
      </c>
      <c r="R96">
        <v>-228.40477999999999</v>
      </c>
      <c r="S96">
        <v>-38.130000000000003</v>
      </c>
      <c r="T96">
        <f t="shared" si="6"/>
        <v>0</v>
      </c>
      <c r="U96">
        <f t="shared" si="7"/>
        <v>0</v>
      </c>
      <c r="V96">
        <f t="shared" si="8"/>
        <v>0</v>
      </c>
      <c r="W96">
        <f t="shared" si="9"/>
        <v>0</v>
      </c>
      <c r="X96">
        <f t="shared" si="10"/>
        <v>0</v>
      </c>
      <c r="Y96">
        <f t="shared" si="11"/>
        <v>0</v>
      </c>
    </row>
    <row r="97" spans="1:26" hidden="1" x14ac:dyDescent="0.35">
      <c r="A97">
        <v>95</v>
      </c>
      <c r="C97" t="s">
        <v>208</v>
      </c>
      <c r="D97" t="s">
        <v>209</v>
      </c>
      <c r="E97" s="1">
        <v>35780</v>
      </c>
      <c r="F97" t="s">
        <v>21</v>
      </c>
      <c r="G97">
        <v>29432</v>
      </c>
      <c r="H97">
        <v>-463.22111964426398</v>
      </c>
      <c r="I97">
        <v>3.1862540842154301</v>
      </c>
      <c r="J97">
        <v>4.6322111964426398</v>
      </c>
      <c r="K97">
        <v>4.8529999999999998</v>
      </c>
      <c r="L97">
        <v>463.71829552718901</v>
      </c>
      <c r="M97">
        <v>591.32140576842596</v>
      </c>
      <c r="N97">
        <v>4.5320005134452703</v>
      </c>
      <c r="O97">
        <v>1041.7635930505101</v>
      </c>
      <c r="P97">
        <v>7.9199540378842102</v>
      </c>
      <c r="Q97">
        <v>-0.74916269447374295</v>
      </c>
      <c r="R97">
        <v>-231.74768</v>
      </c>
      <c r="S97">
        <v>20.45</v>
      </c>
      <c r="T97">
        <f t="shared" si="6"/>
        <v>0</v>
      </c>
      <c r="U97">
        <f t="shared" si="7"/>
        <v>0</v>
      </c>
      <c r="V97">
        <f t="shared" si="8"/>
        <v>0</v>
      </c>
      <c r="W97">
        <f t="shared" si="9"/>
        <v>0</v>
      </c>
      <c r="X97">
        <f t="shared" si="10"/>
        <v>0</v>
      </c>
      <c r="Y97">
        <f t="shared" si="11"/>
        <v>0</v>
      </c>
    </row>
    <row r="98" spans="1:26" hidden="1" x14ac:dyDescent="0.35">
      <c r="A98">
        <v>96</v>
      </c>
      <c r="C98" t="s">
        <v>210</v>
      </c>
      <c r="D98" t="s">
        <v>211</v>
      </c>
      <c r="E98" s="1">
        <v>36185</v>
      </c>
      <c r="F98" t="s">
        <v>21</v>
      </c>
      <c r="G98">
        <v>23761</v>
      </c>
      <c r="H98">
        <v>694.99683861734104</v>
      </c>
      <c r="I98">
        <v>-5.21256390117032</v>
      </c>
      <c r="J98">
        <v>-6.9499683861734098</v>
      </c>
      <c r="K98">
        <v>5.2129999999999903</v>
      </c>
      <c r="L98">
        <v>-774.09114632434205</v>
      </c>
      <c r="M98">
        <v>576.33032501962202</v>
      </c>
      <c r="N98">
        <v>-3.9629111022195702</v>
      </c>
      <c r="O98">
        <v>943.67398364163898</v>
      </c>
      <c r="P98">
        <v>5.3856837942735103</v>
      </c>
      <c r="Q98">
        <v>0.35131550936164901</v>
      </c>
      <c r="R98">
        <v>-253.74135999999999</v>
      </c>
      <c r="S98">
        <v>228.67</v>
      </c>
      <c r="T98">
        <f t="shared" si="6"/>
        <v>0</v>
      </c>
      <c r="U98">
        <f t="shared" si="7"/>
        <v>0</v>
      </c>
      <c r="V98">
        <f t="shared" si="8"/>
        <v>0</v>
      </c>
      <c r="W98">
        <f t="shared" si="9"/>
        <v>0</v>
      </c>
      <c r="X98">
        <f t="shared" si="10"/>
        <v>0</v>
      </c>
      <c r="Y98">
        <f t="shared" si="11"/>
        <v>0</v>
      </c>
    </row>
    <row r="99" spans="1:26" hidden="1" x14ac:dyDescent="0.35">
      <c r="A99">
        <v>97</v>
      </c>
      <c r="C99" t="s">
        <v>60</v>
      </c>
      <c r="D99" t="s">
        <v>212</v>
      </c>
      <c r="E99" s="1">
        <v>36340</v>
      </c>
      <c r="F99" t="s">
        <v>21</v>
      </c>
      <c r="G99">
        <v>72835</v>
      </c>
      <c r="H99">
        <v>-488.390242028871</v>
      </c>
      <c r="I99">
        <v>-5.6195507937231497</v>
      </c>
      <c r="J99">
        <v>4.8839024202887096</v>
      </c>
      <c r="K99">
        <v>-5.0620000000000003</v>
      </c>
      <c r="L99">
        <v>-397.995468415765</v>
      </c>
      <c r="M99">
        <v>408.55345269318298</v>
      </c>
      <c r="N99">
        <v>4.9251875959836298</v>
      </c>
      <c r="O99">
        <v>1030.7693140449201</v>
      </c>
      <c r="P99">
        <v>7.0284667894255497</v>
      </c>
      <c r="Q99">
        <v>-0.65989660193076005</v>
      </c>
      <c r="R99">
        <v>-251.78655000000001</v>
      </c>
      <c r="S99">
        <v>-92.12</v>
      </c>
      <c r="T99">
        <f t="shared" si="6"/>
        <v>0</v>
      </c>
      <c r="U99">
        <f t="shared" si="7"/>
        <v>0</v>
      </c>
      <c r="V99">
        <f t="shared" si="8"/>
        <v>0</v>
      </c>
      <c r="W99">
        <f t="shared" si="9"/>
        <v>0</v>
      </c>
      <c r="X99">
        <f t="shared" si="10"/>
        <v>0</v>
      </c>
      <c r="Y99">
        <f t="shared" si="11"/>
        <v>0</v>
      </c>
    </row>
    <row r="100" spans="1:26" x14ac:dyDescent="0.35">
      <c r="A100">
        <v>98</v>
      </c>
      <c r="C100" t="s">
        <v>213</v>
      </c>
      <c r="D100" t="s">
        <v>214</v>
      </c>
      <c r="E100" s="1">
        <v>35616</v>
      </c>
      <c r="F100" t="s">
        <v>21</v>
      </c>
      <c r="G100">
        <v>38819</v>
      </c>
      <c r="I100">
        <v>5.4056852229355199</v>
      </c>
      <c r="K100">
        <v>3.7869999999999999</v>
      </c>
      <c r="L100">
        <v>-241.397110011047</v>
      </c>
      <c r="M100">
        <v>383.49502104928399</v>
      </c>
      <c r="N100">
        <v>8.98082171304981</v>
      </c>
      <c r="O100">
        <v>1026.3773777607501</v>
      </c>
      <c r="P100">
        <v>5.8091162218905401</v>
      </c>
      <c r="Q100">
        <v>0.166098888492453</v>
      </c>
      <c r="R100">
        <v>-242.18932000000001</v>
      </c>
      <c r="S100">
        <v>-31.48</v>
      </c>
      <c r="T100">
        <f t="shared" si="6"/>
        <v>0</v>
      </c>
      <c r="U100">
        <f t="shared" si="7"/>
        <v>1</v>
      </c>
      <c r="V100">
        <f t="shared" si="8"/>
        <v>0</v>
      </c>
      <c r="W100">
        <f t="shared" si="9"/>
        <v>0</v>
      </c>
      <c r="X100">
        <f t="shared" si="10"/>
        <v>0</v>
      </c>
      <c r="Y100">
        <f t="shared" si="11"/>
        <v>1</v>
      </c>
      <c r="Z100">
        <f>SUM(T100:X100)</f>
        <v>1</v>
      </c>
    </row>
    <row r="101" spans="1:26" hidden="1" x14ac:dyDescent="0.35">
      <c r="A101">
        <v>99</v>
      </c>
      <c r="C101" t="s">
        <v>215</v>
      </c>
      <c r="D101" t="s">
        <v>216</v>
      </c>
      <c r="E101" s="1">
        <v>37067</v>
      </c>
      <c r="F101" t="s">
        <v>24</v>
      </c>
      <c r="G101">
        <v>79908</v>
      </c>
      <c r="H101">
        <v>-488.54611665186599</v>
      </c>
      <c r="I101">
        <v>2.5909053457669802</v>
      </c>
      <c r="J101">
        <v>4.8854611665186596</v>
      </c>
      <c r="K101">
        <v>5.5730000000000004</v>
      </c>
      <c r="L101">
        <v>686.04640866943396</v>
      </c>
      <c r="M101">
        <v>624.11161719123402</v>
      </c>
      <c r="N101">
        <v>5.0938407104482399</v>
      </c>
      <c r="O101">
        <v>1047.66010907637</v>
      </c>
      <c r="P101">
        <v>5.7331117376549301</v>
      </c>
      <c r="Q101">
        <v>0.36976720000976498</v>
      </c>
      <c r="R101">
        <v>-232.89751999999999</v>
      </c>
      <c r="S101">
        <v>-61.56</v>
      </c>
      <c r="T101">
        <f t="shared" si="6"/>
        <v>0</v>
      </c>
      <c r="U101">
        <f t="shared" si="7"/>
        <v>0</v>
      </c>
      <c r="V101">
        <f t="shared" si="8"/>
        <v>0</v>
      </c>
      <c r="W101">
        <f t="shared" si="9"/>
        <v>0</v>
      </c>
      <c r="X101">
        <f t="shared" si="10"/>
        <v>0</v>
      </c>
      <c r="Y101">
        <f t="shared" si="11"/>
        <v>0</v>
      </c>
    </row>
    <row r="102" spans="1:26" hidden="1" x14ac:dyDescent="0.35">
      <c r="A102">
        <v>100</v>
      </c>
      <c r="C102" t="s">
        <v>217</v>
      </c>
      <c r="D102" t="s">
        <v>218</v>
      </c>
      <c r="E102" s="1">
        <v>36313</v>
      </c>
      <c r="F102" t="s">
        <v>21</v>
      </c>
      <c r="G102">
        <v>51723</v>
      </c>
      <c r="H102">
        <v>408.29500774497598</v>
      </c>
      <c r="I102">
        <v>6.1467382090718798</v>
      </c>
      <c r="J102">
        <v>-4.0829500774497598</v>
      </c>
      <c r="K102">
        <v>3.4049999999999998</v>
      </c>
      <c r="L102">
        <v>-327.30678234610201</v>
      </c>
      <c r="M102">
        <v>337.40912113647602</v>
      </c>
      <c r="N102">
        <v>4.8881389998252898</v>
      </c>
      <c r="O102">
        <v>1043.4916896080199</v>
      </c>
      <c r="P102">
        <v>1.4276036706286599</v>
      </c>
      <c r="Q102">
        <v>-0.66218645370335505</v>
      </c>
      <c r="R102">
        <v>-244.83179999999999</v>
      </c>
      <c r="S102">
        <v>-30.99</v>
      </c>
      <c r="T102">
        <f t="shared" si="6"/>
        <v>0</v>
      </c>
      <c r="U102">
        <f t="shared" si="7"/>
        <v>0</v>
      </c>
      <c r="V102">
        <f t="shared" si="8"/>
        <v>0</v>
      </c>
      <c r="W102">
        <f t="shared" si="9"/>
        <v>0</v>
      </c>
      <c r="X102">
        <f t="shared" si="10"/>
        <v>0</v>
      </c>
      <c r="Y102">
        <f t="shared" si="11"/>
        <v>0</v>
      </c>
    </row>
    <row r="103" spans="1:26" hidden="1" x14ac:dyDescent="0.35">
      <c r="A103">
        <v>101</v>
      </c>
      <c r="C103" t="s">
        <v>219</v>
      </c>
      <c r="D103" t="s">
        <v>220</v>
      </c>
      <c r="E103" s="1">
        <v>35916</v>
      </c>
      <c r="F103" t="s">
        <v>24</v>
      </c>
      <c r="G103">
        <v>41238</v>
      </c>
      <c r="H103">
        <v>457.55736707652699</v>
      </c>
      <c r="I103">
        <v>6.1116956072110602</v>
      </c>
      <c r="J103">
        <v>-4.5755736707652703</v>
      </c>
      <c r="K103">
        <v>5.8159999999999998</v>
      </c>
      <c r="L103">
        <v>-562.26334475006195</v>
      </c>
      <c r="M103">
        <v>478.016845949399</v>
      </c>
      <c r="N103">
        <v>10.3669950658381</v>
      </c>
      <c r="O103">
        <v>1035.00432480066</v>
      </c>
      <c r="P103">
        <v>11.0696336206626</v>
      </c>
      <c r="Q103">
        <v>-0.208598621723358</v>
      </c>
      <c r="R103">
        <v>-239.60169999999999</v>
      </c>
      <c r="S103">
        <v>5.27</v>
      </c>
      <c r="T103">
        <f t="shared" si="6"/>
        <v>0</v>
      </c>
      <c r="U103">
        <f t="shared" si="7"/>
        <v>0</v>
      </c>
      <c r="V103">
        <f t="shared" si="8"/>
        <v>0</v>
      </c>
      <c r="W103">
        <f t="shared" si="9"/>
        <v>0</v>
      </c>
      <c r="X103">
        <f t="shared" si="10"/>
        <v>0</v>
      </c>
      <c r="Y103">
        <f t="shared" si="11"/>
        <v>0</v>
      </c>
    </row>
    <row r="104" spans="1:26" hidden="1" x14ac:dyDescent="0.35">
      <c r="A104">
        <v>102</v>
      </c>
      <c r="C104" t="s">
        <v>221</v>
      </c>
      <c r="D104" t="s">
        <v>222</v>
      </c>
      <c r="E104" s="1">
        <v>36331</v>
      </c>
      <c r="F104" t="s">
        <v>21</v>
      </c>
      <c r="G104">
        <v>59614</v>
      </c>
      <c r="H104">
        <v>453.46581049072</v>
      </c>
      <c r="I104">
        <v>7.0059879208602496</v>
      </c>
      <c r="J104">
        <v>-4.5346581049071997</v>
      </c>
      <c r="K104">
        <v>5.4160000000000004</v>
      </c>
      <c r="L104">
        <v>-763.78791715641205</v>
      </c>
      <c r="M104">
        <v>421.66295732441</v>
      </c>
      <c r="N104">
        <v>5.15124078210967</v>
      </c>
      <c r="O104">
        <v>1062.40021011103</v>
      </c>
      <c r="P104">
        <v>5.9912704137161397</v>
      </c>
      <c r="Q104">
        <v>-0.20363040843736099</v>
      </c>
      <c r="R104">
        <v>-243.00066000000001</v>
      </c>
      <c r="S104">
        <v>3.8</v>
      </c>
      <c r="T104">
        <f t="shared" si="6"/>
        <v>0</v>
      </c>
      <c r="U104">
        <f t="shared" si="7"/>
        <v>0</v>
      </c>
      <c r="V104">
        <f t="shared" si="8"/>
        <v>0</v>
      </c>
      <c r="W104">
        <f t="shared" si="9"/>
        <v>0</v>
      </c>
      <c r="X104">
        <f t="shared" si="10"/>
        <v>0</v>
      </c>
      <c r="Y104">
        <f t="shared" si="11"/>
        <v>0</v>
      </c>
    </row>
    <row r="105" spans="1:26" hidden="1" x14ac:dyDescent="0.35">
      <c r="A105">
        <v>103</v>
      </c>
      <c r="C105" t="s">
        <v>110</v>
      </c>
      <c r="D105" t="s">
        <v>223</v>
      </c>
      <c r="E105" s="1">
        <v>37064</v>
      </c>
      <c r="F105" t="s">
        <v>21</v>
      </c>
      <c r="G105">
        <v>51864</v>
      </c>
      <c r="I105">
        <v>-3.7841412012796298</v>
      </c>
      <c r="J105">
        <v>5.2307678278789398</v>
      </c>
      <c r="K105">
        <v>-6.2670000000000003</v>
      </c>
      <c r="L105">
        <v>-407.60347358995602</v>
      </c>
      <c r="M105">
        <v>389.17819911849301</v>
      </c>
      <c r="N105">
        <v>1.0290586060384801</v>
      </c>
      <c r="O105">
        <v>1068.60924665528</v>
      </c>
      <c r="P105">
        <v>7.1791539693404198</v>
      </c>
      <c r="Q105">
        <v>-1.5857408642331501</v>
      </c>
      <c r="R105">
        <v>-251.13722000000001</v>
      </c>
      <c r="S105">
        <v>-43.19</v>
      </c>
      <c r="T105">
        <f t="shared" si="6"/>
        <v>0</v>
      </c>
      <c r="U105">
        <f t="shared" si="7"/>
        <v>0</v>
      </c>
      <c r="V105">
        <f t="shared" si="8"/>
        <v>0</v>
      </c>
      <c r="W105">
        <f t="shared" si="9"/>
        <v>0</v>
      </c>
      <c r="X105">
        <f t="shared" si="10"/>
        <v>0</v>
      </c>
      <c r="Y105">
        <f t="shared" si="11"/>
        <v>0</v>
      </c>
    </row>
    <row r="106" spans="1:26" hidden="1" x14ac:dyDescent="0.35">
      <c r="A106">
        <v>104</v>
      </c>
      <c r="C106" t="s">
        <v>224</v>
      </c>
      <c r="D106" t="s">
        <v>225</v>
      </c>
      <c r="E106" s="1">
        <v>36920</v>
      </c>
      <c r="F106" t="s">
        <v>21</v>
      </c>
      <c r="G106">
        <v>38150</v>
      </c>
      <c r="H106">
        <v>-644.49339292873196</v>
      </c>
      <c r="I106">
        <v>4.4909072335913702</v>
      </c>
      <c r="J106">
        <v>6.4449339292873198</v>
      </c>
      <c r="K106">
        <v>2.8660000000000001</v>
      </c>
      <c r="L106">
        <v>179.27610514303601</v>
      </c>
      <c r="M106">
        <v>592.10802436115705</v>
      </c>
      <c r="N106">
        <v>6.59082784608123</v>
      </c>
      <c r="O106">
        <v>1034.32781126296</v>
      </c>
      <c r="P106">
        <v>9.3392403874513601</v>
      </c>
      <c r="Q106">
        <v>1.1816592441807501</v>
      </c>
      <c r="R106">
        <v>-231.56018</v>
      </c>
      <c r="S106">
        <v>17.95</v>
      </c>
      <c r="T106">
        <f t="shared" si="6"/>
        <v>0</v>
      </c>
      <c r="U106">
        <f t="shared" si="7"/>
        <v>0</v>
      </c>
      <c r="V106">
        <f t="shared" si="8"/>
        <v>0</v>
      </c>
      <c r="W106">
        <f t="shared" si="9"/>
        <v>0</v>
      </c>
      <c r="X106">
        <f t="shared" si="10"/>
        <v>0</v>
      </c>
      <c r="Y106">
        <f t="shared" si="11"/>
        <v>0</v>
      </c>
    </row>
    <row r="107" spans="1:26" hidden="1" x14ac:dyDescent="0.35">
      <c r="A107">
        <v>105</v>
      </c>
      <c r="C107" t="s">
        <v>226</v>
      </c>
      <c r="D107" t="s">
        <v>227</v>
      </c>
      <c r="E107" s="1">
        <v>36433</v>
      </c>
      <c r="F107" t="s">
        <v>24</v>
      </c>
      <c r="H107">
        <v>-569.80319095967104</v>
      </c>
      <c r="I107">
        <v>1.06859308168357</v>
      </c>
      <c r="J107">
        <v>5.6980319095967102</v>
      </c>
      <c r="K107">
        <v>3.7309999999999999</v>
      </c>
      <c r="L107">
        <v>447.084377986775</v>
      </c>
      <c r="M107">
        <v>618.83804163429704</v>
      </c>
      <c r="O107">
        <v>1064.73842972597</v>
      </c>
      <c r="P107">
        <v>13.3900130099296</v>
      </c>
      <c r="Q107">
        <v>-0.30162759891593999</v>
      </c>
      <c r="R107">
        <v>-230.89281</v>
      </c>
      <c r="S107">
        <v>13.14</v>
      </c>
      <c r="T107">
        <f t="shared" si="6"/>
        <v>0</v>
      </c>
      <c r="U107">
        <f t="shared" si="7"/>
        <v>0</v>
      </c>
      <c r="V107">
        <f t="shared" si="8"/>
        <v>0</v>
      </c>
      <c r="W107">
        <f t="shared" si="9"/>
        <v>0</v>
      </c>
      <c r="X107">
        <f t="shared" si="10"/>
        <v>0</v>
      </c>
      <c r="Y107">
        <f t="shared" si="11"/>
        <v>0</v>
      </c>
    </row>
    <row r="108" spans="1:26" hidden="1" x14ac:dyDescent="0.35">
      <c r="A108">
        <v>106</v>
      </c>
      <c r="C108" t="s">
        <v>228</v>
      </c>
      <c r="D108" t="s">
        <v>229</v>
      </c>
      <c r="E108" s="1">
        <v>36103</v>
      </c>
      <c r="F108" t="s">
        <v>24</v>
      </c>
      <c r="G108">
        <v>57510</v>
      </c>
      <c r="H108">
        <v>405.73470418439598</v>
      </c>
      <c r="I108">
        <v>7.9277407331602596</v>
      </c>
      <c r="J108">
        <v>-4.0573470418439603</v>
      </c>
      <c r="K108">
        <v>0.71799999999999997</v>
      </c>
      <c r="L108">
        <v>-449.03807699462402</v>
      </c>
      <c r="M108">
        <v>387.12741296670498</v>
      </c>
      <c r="N108">
        <v>3.3907973636431898</v>
      </c>
      <c r="O108">
        <v>1042.86945436018</v>
      </c>
      <c r="P108">
        <v>3.33640520460037</v>
      </c>
      <c r="Q108">
        <v>-0.48853261169026302</v>
      </c>
      <c r="R108">
        <v>-246.26356999999999</v>
      </c>
      <c r="S108">
        <v>31.24</v>
      </c>
      <c r="T108">
        <f t="shared" si="6"/>
        <v>0</v>
      </c>
      <c r="U108">
        <f t="shared" si="7"/>
        <v>0</v>
      </c>
      <c r="V108">
        <f t="shared" si="8"/>
        <v>0</v>
      </c>
      <c r="W108">
        <f t="shared" si="9"/>
        <v>0</v>
      </c>
      <c r="X108">
        <f t="shared" si="10"/>
        <v>0</v>
      </c>
      <c r="Y108">
        <f t="shared" si="11"/>
        <v>0</v>
      </c>
    </row>
    <row r="109" spans="1:26" hidden="1" x14ac:dyDescent="0.35">
      <c r="A109">
        <v>107</v>
      </c>
      <c r="C109" t="s">
        <v>230</v>
      </c>
      <c r="D109" t="s">
        <v>231</v>
      </c>
      <c r="E109" s="1">
        <v>35634</v>
      </c>
      <c r="F109" t="s">
        <v>21</v>
      </c>
      <c r="G109">
        <v>33737</v>
      </c>
      <c r="H109">
        <v>-586.63084547723804</v>
      </c>
      <c r="I109">
        <v>-3.9765449771852102</v>
      </c>
      <c r="J109">
        <v>5.8663084547723798</v>
      </c>
      <c r="L109">
        <v>-453.561438240575</v>
      </c>
      <c r="M109">
        <v>405.51309296947198</v>
      </c>
      <c r="N109">
        <v>4.8351706536713603</v>
      </c>
      <c r="O109">
        <v>1047.6070906059999</v>
      </c>
      <c r="P109">
        <v>9.2071170207003608</v>
      </c>
      <c r="Q109">
        <v>-0.561597909964061</v>
      </c>
      <c r="R109">
        <v>-246.72452999999999</v>
      </c>
      <c r="S109">
        <v>-47.62</v>
      </c>
      <c r="T109">
        <f t="shared" si="6"/>
        <v>0</v>
      </c>
      <c r="U109">
        <f t="shared" si="7"/>
        <v>0</v>
      </c>
      <c r="V109">
        <f t="shared" si="8"/>
        <v>0</v>
      </c>
      <c r="W109">
        <f t="shared" si="9"/>
        <v>0</v>
      </c>
      <c r="X109">
        <f t="shared" si="10"/>
        <v>0</v>
      </c>
      <c r="Y109">
        <f t="shared" si="11"/>
        <v>0</v>
      </c>
    </row>
    <row r="110" spans="1:26" hidden="1" x14ac:dyDescent="0.35">
      <c r="A110">
        <v>108</v>
      </c>
      <c r="C110" t="s">
        <v>232</v>
      </c>
      <c r="D110" t="s">
        <v>233</v>
      </c>
      <c r="E110" s="1">
        <v>36955</v>
      </c>
      <c r="F110" t="s">
        <v>24</v>
      </c>
      <c r="H110">
        <v>-561.89142646971595</v>
      </c>
      <c r="I110">
        <v>-8.5711731232578199</v>
      </c>
      <c r="J110" s="4">
        <f>-H110/100</f>
        <v>5.6189142646971595</v>
      </c>
      <c r="K110">
        <v>-7.4909999999999997</v>
      </c>
      <c r="L110">
        <v>-422.76212962888502</v>
      </c>
      <c r="M110">
        <v>351.33348089107801</v>
      </c>
      <c r="N110">
        <v>5.2750568788255698</v>
      </c>
      <c r="O110">
        <v>1078.53291196195</v>
      </c>
      <c r="P110">
        <v>10.996144864992701</v>
      </c>
      <c r="Q110">
        <v>-6.9805019173404495E-2</v>
      </c>
      <c r="R110">
        <v>-253.64782</v>
      </c>
      <c r="S110">
        <v>-138.01</v>
      </c>
      <c r="T110">
        <f t="shared" si="6"/>
        <v>0</v>
      </c>
      <c r="U110">
        <f t="shared" si="7"/>
        <v>0</v>
      </c>
      <c r="V110">
        <f t="shared" si="8"/>
        <v>0</v>
      </c>
      <c r="W110">
        <f t="shared" si="9"/>
        <v>0</v>
      </c>
      <c r="X110">
        <f t="shared" si="10"/>
        <v>0</v>
      </c>
      <c r="Y110">
        <f t="shared" si="11"/>
        <v>0</v>
      </c>
      <c r="Z110">
        <f>SUM(T110:X110)</f>
        <v>0</v>
      </c>
    </row>
    <row r="111" spans="1:26" hidden="1" x14ac:dyDescent="0.35">
      <c r="A111">
        <v>109</v>
      </c>
      <c r="C111" t="s">
        <v>234</v>
      </c>
      <c r="D111" t="s">
        <v>235</v>
      </c>
      <c r="E111" s="1">
        <v>35879</v>
      </c>
      <c r="F111" t="s">
        <v>24</v>
      </c>
      <c r="G111">
        <v>41369</v>
      </c>
      <c r="H111">
        <v>664.59152946912695</v>
      </c>
      <c r="I111">
        <v>1.87900638467254</v>
      </c>
      <c r="J111">
        <v>-6.6459152946912701</v>
      </c>
      <c r="K111">
        <v>5.5650000000000004</v>
      </c>
      <c r="L111">
        <v>-396.19907172481601</v>
      </c>
      <c r="N111">
        <v>6.4227164927079903</v>
      </c>
      <c r="O111">
        <v>1047.68161746124</v>
      </c>
      <c r="P111">
        <v>7.43720320746535</v>
      </c>
      <c r="Q111">
        <v>-0.26845013692924602</v>
      </c>
      <c r="R111">
        <v>-245.89424</v>
      </c>
      <c r="S111">
        <v>-25.22</v>
      </c>
      <c r="T111">
        <f t="shared" si="6"/>
        <v>0</v>
      </c>
      <c r="U111">
        <f t="shared" si="7"/>
        <v>0</v>
      </c>
      <c r="V111">
        <f t="shared" si="8"/>
        <v>0</v>
      </c>
      <c r="W111">
        <f t="shared" si="9"/>
        <v>0</v>
      </c>
      <c r="X111">
        <f t="shared" si="10"/>
        <v>0</v>
      </c>
      <c r="Y111">
        <f t="shared" si="11"/>
        <v>0</v>
      </c>
    </row>
    <row r="112" spans="1:26" hidden="1" x14ac:dyDescent="0.35">
      <c r="A112">
        <v>110</v>
      </c>
      <c r="C112" t="s">
        <v>236</v>
      </c>
      <c r="D112" t="s">
        <v>237</v>
      </c>
      <c r="E112" s="1">
        <v>36433</v>
      </c>
      <c r="F112" t="s">
        <v>21</v>
      </c>
      <c r="G112">
        <v>48873</v>
      </c>
      <c r="H112">
        <v>299.39822987305803</v>
      </c>
      <c r="I112">
        <v>8.6605238567175</v>
      </c>
      <c r="J112">
        <v>-2.9939822987305802</v>
      </c>
      <c r="K112">
        <v>3.9449999999999998</v>
      </c>
      <c r="L112">
        <v>-384.427949588883</v>
      </c>
      <c r="M112">
        <v>411.08603399135598</v>
      </c>
      <c r="N112">
        <v>0.62297186449350495</v>
      </c>
      <c r="O112">
        <v>1033.0269802185501</v>
      </c>
      <c r="P112">
        <v>-9.92720475588382E-2</v>
      </c>
      <c r="Q112">
        <v>1.4588455848084001</v>
      </c>
      <c r="R112">
        <v>-242.58893</v>
      </c>
      <c r="S112">
        <v>69.7</v>
      </c>
      <c r="T112">
        <f t="shared" si="6"/>
        <v>0</v>
      </c>
      <c r="U112">
        <f t="shared" si="7"/>
        <v>0</v>
      </c>
      <c r="V112">
        <f t="shared" si="8"/>
        <v>0</v>
      </c>
      <c r="W112">
        <f t="shared" si="9"/>
        <v>0</v>
      </c>
      <c r="X112">
        <f t="shared" si="10"/>
        <v>0</v>
      </c>
      <c r="Y112">
        <f t="shared" si="11"/>
        <v>0</v>
      </c>
    </row>
    <row r="113" spans="1:26" hidden="1" x14ac:dyDescent="0.35">
      <c r="A113">
        <v>111</v>
      </c>
      <c r="C113" t="s">
        <v>238</v>
      </c>
      <c r="D113" t="s">
        <v>239</v>
      </c>
      <c r="E113" s="1">
        <v>36969</v>
      </c>
      <c r="F113" t="s">
        <v>24</v>
      </c>
      <c r="G113">
        <v>66547</v>
      </c>
      <c r="H113">
        <v>-400.75494799348598</v>
      </c>
      <c r="I113">
        <v>-6.6558953264011196</v>
      </c>
      <c r="J113">
        <v>4.0075494799348599</v>
      </c>
      <c r="K113">
        <v>-7.5309999999999997</v>
      </c>
      <c r="L113">
        <v>-381.111635701794</v>
      </c>
      <c r="M113">
        <v>398.785665922992</v>
      </c>
      <c r="N113">
        <v>4.3510412606638296</v>
      </c>
      <c r="O113">
        <v>1050.5574909166501</v>
      </c>
      <c r="P113">
        <v>9.6446427785747595</v>
      </c>
      <c r="Q113">
        <v>0.44938516159740399</v>
      </c>
      <c r="R113">
        <v>-254.66931</v>
      </c>
      <c r="S113">
        <v>-87.81</v>
      </c>
      <c r="T113">
        <f t="shared" si="6"/>
        <v>0</v>
      </c>
      <c r="U113">
        <f t="shared" si="7"/>
        <v>0</v>
      </c>
      <c r="V113">
        <f t="shared" si="8"/>
        <v>0</v>
      </c>
      <c r="W113">
        <f t="shared" si="9"/>
        <v>0</v>
      </c>
      <c r="X113">
        <f t="shared" si="10"/>
        <v>0</v>
      </c>
      <c r="Y113">
        <f t="shared" si="11"/>
        <v>0</v>
      </c>
    </row>
    <row r="114" spans="1:26" hidden="1" x14ac:dyDescent="0.35">
      <c r="A114">
        <v>112</v>
      </c>
      <c r="C114" t="s">
        <v>240</v>
      </c>
      <c r="D114" t="s">
        <v>241</v>
      </c>
      <c r="E114" s="1">
        <v>35521</v>
      </c>
      <c r="F114" t="s">
        <v>24</v>
      </c>
      <c r="G114">
        <v>13977</v>
      </c>
      <c r="H114">
        <v>442.81251445238797</v>
      </c>
      <c r="I114">
        <v>-6.08938642072206</v>
      </c>
      <c r="J114">
        <v>-4.4281251445238796</v>
      </c>
      <c r="K114">
        <v>6.0379999999999896</v>
      </c>
      <c r="L114">
        <v>-163.79612015419499</v>
      </c>
      <c r="M114">
        <v>578.661153986557</v>
      </c>
      <c r="N114">
        <v>-2.8981219815430599</v>
      </c>
      <c r="O114">
        <v>968.83876725949801</v>
      </c>
      <c r="P114">
        <v>5.5071445460638699</v>
      </c>
      <c r="Q114">
        <v>-0.74879887257793998</v>
      </c>
      <c r="R114">
        <v>-248.69506999999999</v>
      </c>
      <c r="S114">
        <v>163.51</v>
      </c>
      <c r="T114">
        <f t="shared" si="6"/>
        <v>0</v>
      </c>
      <c r="U114">
        <f t="shared" si="7"/>
        <v>0</v>
      </c>
      <c r="V114">
        <f t="shared" si="8"/>
        <v>0</v>
      </c>
      <c r="W114">
        <f t="shared" si="9"/>
        <v>0</v>
      </c>
      <c r="X114">
        <f t="shared" si="10"/>
        <v>0</v>
      </c>
      <c r="Y114">
        <f t="shared" si="11"/>
        <v>0</v>
      </c>
    </row>
    <row r="115" spans="1:26" hidden="1" x14ac:dyDescent="0.35">
      <c r="A115">
        <v>113</v>
      </c>
      <c r="C115" t="s">
        <v>242</v>
      </c>
      <c r="D115" t="s">
        <v>243</v>
      </c>
      <c r="E115" s="1">
        <v>36589</v>
      </c>
      <c r="F115" t="s">
        <v>21</v>
      </c>
      <c r="G115">
        <v>26951</v>
      </c>
      <c r="H115">
        <v>-507.314298062597</v>
      </c>
      <c r="I115">
        <v>6.4316838108405197</v>
      </c>
      <c r="J115">
        <v>5.0731429806259696</v>
      </c>
      <c r="K115">
        <v>4.4329999999999998</v>
      </c>
      <c r="L115">
        <v>205.20994191251199</v>
      </c>
      <c r="M115">
        <v>593.524348843898</v>
      </c>
      <c r="N115">
        <v>6.4042544461214401</v>
      </c>
      <c r="O115">
        <v>1050.8752424607501</v>
      </c>
      <c r="P115">
        <v>10.0610081980122</v>
      </c>
      <c r="Q115">
        <v>-0.38822945326247399</v>
      </c>
      <c r="R115">
        <v>-229.35019</v>
      </c>
      <c r="S115">
        <v>34.89</v>
      </c>
      <c r="T115">
        <f t="shared" si="6"/>
        <v>0</v>
      </c>
      <c r="U115">
        <f t="shared" si="7"/>
        <v>0</v>
      </c>
      <c r="V115">
        <f t="shared" si="8"/>
        <v>0</v>
      </c>
      <c r="W115">
        <f t="shared" si="9"/>
        <v>0</v>
      </c>
      <c r="X115">
        <f t="shared" si="10"/>
        <v>0</v>
      </c>
      <c r="Y115">
        <f t="shared" si="11"/>
        <v>0</v>
      </c>
    </row>
    <row r="116" spans="1:26" hidden="1" x14ac:dyDescent="0.35">
      <c r="A116">
        <v>114</v>
      </c>
      <c r="C116" t="s">
        <v>234</v>
      </c>
      <c r="D116" t="s">
        <v>244</v>
      </c>
      <c r="E116" s="1">
        <v>36060</v>
      </c>
      <c r="F116" t="s">
        <v>24</v>
      </c>
      <c r="H116">
        <v>692.09318474934696</v>
      </c>
      <c r="I116">
        <v>4.0220926168010704</v>
      </c>
      <c r="J116">
        <v>-6.9209318474934696</v>
      </c>
      <c r="K116">
        <v>2.9420000000000002</v>
      </c>
      <c r="L116">
        <v>-322.49702279061398</v>
      </c>
      <c r="M116">
        <v>425.064657447049</v>
      </c>
      <c r="N116">
        <v>6.0409692780222501</v>
      </c>
      <c r="O116">
        <v>1032.95432716908</v>
      </c>
      <c r="P116">
        <v>8.0166689179476194</v>
      </c>
      <c r="Q116">
        <v>1.6419063155151099</v>
      </c>
      <c r="R116">
        <v>-246.56533999999999</v>
      </c>
      <c r="S116">
        <v>27.62</v>
      </c>
      <c r="T116">
        <f t="shared" si="6"/>
        <v>0</v>
      </c>
      <c r="U116">
        <f t="shared" si="7"/>
        <v>0</v>
      </c>
      <c r="V116">
        <f t="shared" si="8"/>
        <v>0</v>
      </c>
      <c r="W116">
        <f t="shared" si="9"/>
        <v>0</v>
      </c>
      <c r="X116">
        <f t="shared" si="10"/>
        <v>0</v>
      </c>
      <c r="Y116">
        <f t="shared" si="11"/>
        <v>0</v>
      </c>
    </row>
    <row r="117" spans="1:26" hidden="1" x14ac:dyDescent="0.35">
      <c r="A117">
        <v>115</v>
      </c>
      <c r="C117" t="s">
        <v>245</v>
      </c>
      <c r="D117" t="s">
        <v>246</v>
      </c>
      <c r="E117" s="1">
        <v>36405</v>
      </c>
      <c r="F117" t="s">
        <v>24</v>
      </c>
      <c r="G117">
        <v>49114</v>
      </c>
      <c r="H117">
        <v>-427.403379864383</v>
      </c>
      <c r="I117">
        <v>5.8255323565784201</v>
      </c>
      <c r="J117">
        <v>4.2740337986438304</v>
      </c>
      <c r="K117">
        <v>4.9829999999999997</v>
      </c>
      <c r="L117">
        <v>521.33066692059003</v>
      </c>
      <c r="M117">
        <v>634.064190272573</v>
      </c>
      <c r="N117">
        <v>5.3095963853738404</v>
      </c>
      <c r="O117">
        <v>1037.1889993511199</v>
      </c>
      <c r="P117">
        <v>7.8719692592504504</v>
      </c>
      <c r="Q117">
        <v>1.01589608073181</v>
      </c>
      <c r="R117">
        <v>-230.50073</v>
      </c>
      <c r="S117">
        <v>25.52</v>
      </c>
      <c r="T117">
        <f t="shared" si="6"/>
        <v>0</v>
      </c>
      <c r="U117">
        <f t="shared" si="7"/>
        <v>0</v>
      </c>
      <c r="V117">
        <f t="shared" si="8"/>
        <v>0</v>
      </c>
      <c r="W117">
        <f t="shared" si="9"/>
        <v>0</v>
      </c>
      <c r="X117">
        <f t="shared" si="10"/>
        <v>0</v>
      </c>
      <c r="Y117">
        <f t="shared" si="11"/>
        <v>0</v>
      </c>
    </row>
    <row r="118" spans="1:26" hidden="1" x14ac:dyDescent="0.35">
      <c r="A118">
        <v>116</v>
      </c>
      <c r="C118" t="s">
        <v>247</v>
      </c>
      <c r="D118" t="s">
        <v>248</v>
      </c>
      <c r="E118" s="1">
        <v>36519</v>
      </c>
      <c r="F118" t="s">
        <v>24</v>
      </c>
      <c r="G118">
        <v>62665</v>
      </c>
      <c r="H118">
        <v>-357.99032707212501</v>
      </c>
      <c r="I118">
        <v>4.4615625095392097</v>
      </c>
      <c r="J118">
        <v>3.5799032707212501</v>
      </c>
      <c r="K118">
        <v>6.1980000000000004</v>
      </c>
      <c r="L118">
        <v>605.764891229417</v>
      </c>
      <c r="M118">
        <v>640.15966520468999</v>
      </c>
      <c r="O118">
        <v>1061.3806237931201</v>
      </c>
      <c r="P118">
        <v>8.4089452205045703</v>
      </c>
      <c r="Q118">
        <v>0.77441418784384097</v>
      </c>
      <c r="R118">
        <v>-231.02146999999999</v>
      </c>
      <c r="S118">
        <v>-22.35</v>
      </c>
      <c r="T118">
        <f t="shared" si="6"/>
        <v>0</v>
      </c>
      <c r="U118">
        <f t="shared" si="7"/>
        <v>0</v>
      </c>
      <c r="V118">
        <f t="shared" si="8"/>
        <v>0</v>
      </c>
      <c r="W118">
        <f t="shared" si="9"/>
        <v>0</v>
      </c>
      <c r="X118">
        <f t="shared" si="10"/>
        <v>0</v>
      </c>
      <c r="Y118">
        <f t="shared" si="11"/>
        <v>0</v>
      </c>
    </row>
    <row r="119" spans="1:26" hidden="1" x14ac:dyDescent="0.35">
      <c r="A119">
        <v>117</v>
      </c>
      <c r="C119" t="s">
        <v>249</v>
      </c>
      <c r="D119" t="s">
        <v>250</v>
      </c>
      <c r="E119" s="1">
        <v>37101</v>
      </c>
      <c r="F119" t="s">
        <v>24</v>
      </c>
      <c r="G119">
        <v>36872</v>
      </c>
      <c r="I119">
        <v>4.9024382800878303</v>
      </c>
      <c r="J119">
        <v>-2.8103914755524499</v>
      </c>
      <c r="K119">
        <v>4.7720000000000002</v>
      </c>
      <c r="L119">
        <v>-388.12282446333802</v>
      </c>
      <c r="M119">
        <v>424.37551161345601</v>
      </c>
      <c r="N119">
        <v>5.6010123661968896</v>
      </c>
      <c r="O119">
        <v>1035.96723850688</v>
      </c>
      <c r="P119">
        <v>5.4971838924330001</v>
      </c>
      <c r="Q119">
        <v>0.25911306975267001</v>
      </c>
      <c r="R119">
        <v>-241.4443</v>
      </c>
      <c r="S119">
        <v>11.69</v>
      </c>
      <c r="T119">
        <f t="shared" si="6"/>
        <v>0</v>
      </c>
      <c r="U119">
        <f t="shared" si="7"/>
        <v>0</v>
      </c>
      <c r="V119">
        <f t="shared" si="8"/>
        <v>0</v>
      </c>
      <c r="W119">
        <f t="shared" si="9"/>
        <v>0</v>
      </c>
      <c r="X119">
        <f t="shared" si="10"/>
        <v>0</v>
      </c>
      <c r="Y119">
        <f t="shared" si="11"/>
        <v>0</v>
      </c>
    </row>
    <row r="120" spans="1:26" hidden="1" x14ac:dyDescent="0.35">
      <c r="A120">
        <v>118</v>
      </c>
      <c r="C120" t="s">
        <v>251</v>
      </c>
      <c r="D120" t="s">
        <v>252</v>
      </c>
      <c r="E120" s="1">
        <v>36645</v>
      </c>
      <c r="F120" t="s">
        <v>21</v>
      </c>
      <c r="G120">
        <v>57125</v>
      </c>
      <c r="H120">
        <v>-340.63416122586699</v>
      </c>
      <c r="I120">
        <v>-7.8708896653357403</v>
      </c>
      <c r="J120" s="4">
        <f>-H120/100</f>
        <v>3.4063416122586698</v>
      </c>
      <c r="K120">
        <v>-5.1580000000000004</v>
      </c>
      <c r="L120">
        <v>-262.23861486115101</v>
      </c>
      <c r="M120">
        <v>458.148813581642</v>
      </c>
      <c r="N120">
        <v>6.2578069562515299</v>
      </c>
      <c r="O120">
        <v>1031.52835088502</v>
      </c>
      <c r="P120">
        <v>11.895260483796299</v>
      </c>
      <c r="Q120">
        <v>-1.4054753137831799</v>
      </c>
      <c r="R120">
        <v>-252.07488000000001</v>
      </c>
      <c r="S120">
        <v>-74.98</v>
      </c>
      <c r="T120">
        <f t="shared" si="6"/>
        <v>0</v>
      </c>
      <c r="U120">
        <f t="shared" si="7"/>
        <v>0</v>
      </c>
      <c r="V120">
        <f t="shared" si="8"/>
        <v>0</v>
      </c>
      <c r="W120">
        <f t="shared" si="9"/>
        <v>0</v>
      </c>
      <c r="X120">
        <f t="shared" si="10"/>
        <v>0</v>
      </c>
      <c r="Y120">
        <f t="shared" si="11"/>
        <v>0</v>
      </c>
      <c r="Z120">
        <f>SUM(T120:X120)</f>
        <v>0</v>
      </c>
    </row>
    <row r="121" spans="1:26" hidden="1" x14ac:dyDescent="0.35">
      <c r="A121">
        <v>119</v>
      </c>
      <c r="C121" t="s">
        <v>253</v>
      </c>
      <c r="D121" t="s">
        <v>254</v>
      </c>
      <c r="E121" s="1">
        <v>35825</v>
      </c>
      <c r="F121" t="s">
        <v>24</v>
      </c>
      <c r="G121">
        <v>44931</v>
      </c>
      <c r="H121">
        <v>-716.42261916665302</v>
      </c>
      <c r="I121">
        <v>5.9049323627679904</v>
      </c>
      <c r="J121">
        <v>7.1642261916665397</v>
      </c>
      <c r="K121">
        <v>3.7429999999999999</v>
      </c>
      <c r="L121">
        <v>619.96676727569798</v>
      </c>
      <c r="M121">
        <v>591.67623550189705</v>
      </c>
      <c r="N121">
        <v>5.8581947553841802</v>
      </c>
      <c r="O121">
        <v>1066.8835908844801</v>
      </c>
      <c r="P121">
        <v>7.90561744125438</v>
      </c>
      <c r="Q121">
        <v>0.63925279638710297</v>
      </c>
      <c r="R121">
        <v>-228.44238999999999</v>
      </c>
      <c r="S121">
        <v>-26.5</v>
      </c>
      <c r="T121">
        <f t="shared" si="6"/>
        <v>0</v>
      </c>
      <c r="U121">
        <f t="shared" si="7"/>
        <v>0</v>
      </c>
      <c r="V121">
        <f t="shared" si="8"/>
        <v>0</v>
      </c>
      <c r="W121">
        <f t="shared" si="9"/>
        <v>0</v>
      </c>
      <c r="X121">
        <f t="shared" si="10"/>
        <v>0</v>
      </c>
      <c r="Y121">
        <f t="shared" si="11"/>
        <v>0</v>
      </c>
    </row>
    <row r="122" spans="1:26" hidden="1" x14ac:dyDescent="0.35">
      <c r="A122">
        <v>120</v>
      </c>
      <c r="C122" t="s">
        <v>28</v>
      </c>
      <c r="D122" t="s">
        <v>255</v>
      </c>
      <c r="E122" s="1">
        <v>36835</v>
      </c>
      <c r="F122" t="s">
        <v>21</v>
      </c>
      <c r="G122">
        <v>73735</v>
      </c>
      <c r="H122">
        <v>536.69745968498103</v>
      </c>
      <c r="I122">
        <v>-4.6313061216014599</v>
      </c>
      <c r="J122">
        <v>-5.3669745968498104</v>
      </c>
      <c r="K122">
        <v>3.2789999999999999</v>
      </c>
      <c r="L122">
        <v>-714.78681217884798</v>
      </c>
      <c r="M122">
        <v>619.06796740729305</v>
      </c>
      <c r="N122">
        <v>-5.5405626600605196</v>
      </c>
      <c r="O122">
        <v>956.47235832922399</v>
      </c>
      <c r="P122">
        <v>3.6729376476722702</v>
      </c>
      <c r="Q122">
        <v>1.1856051950888</v>
      </c>
      <c r="R122">
        <v>-255.98934</v>
      </c>
      <c r="S122">
        <v>191.33</v>
      </c>
      <c r="T122">
        <f t="shared" si="6"/>
        <v>0</v>
      </c>
      <c r="U122">
        <f t="shared" si="7"/>
        <v>0</v>
      </c>
      <c r="V122">
        <f t="shared" si="8"/>
        <v>0</v>
      </c>
      <c r="W122">
        <f t="shared" si="9"/>
        <v>0</v>
      </c>
      <c r="X122">
        <f t="shared" si="10"/>
        <v>0</v>
      </c>
      <c r="Y122">
        <f t="shared" si="11"/>
        <v>0</v>
      </c>
    </row>
    <row r="123" spans="1:26" hidden="1" x14ac:dyDescent="0.35">
      <c r="A123">
        <v>121</v>
      </c>
      <c r="C123" t="s">
        <v>256</v>
      </c>
      <c r="D123" t="s">
        <v>257</v>
      </c>
      <c r="E123" s="1">
        <v>36312</v>
      </c>
      <c r="F123" t="s">
        <v>24</v>
      </c>
      <c r="G123">
        <v>71073</v>
      </c>
      <c r="H123">
        <v>317.25242404916798</v>
      </c>
      <c r="I123">
        <v>6.2073912978176997</v>
      </c>
      <c r="J123">
        <v>-3.17252424049168</v>
      </c>
      <c r="K123">
        <v>3.5619999999999998</v>
      </c>
      <c r="L123">
        <v>-794.96506110898395</v>
      </c>
      <c r="M123">
        <v>399.938420033277</v>
      </c>
      <c r="N123">
        <v>2.7662778790451501</v>
      </c>
      <c r="O123">
        <v>1074.10133178669</v>
      </c>
      <c r="P123">
        <v>4.14399789136107</v>
      </c>
      <c r="Q123">
        <v>0.89816617277160304</v>
      </c>
      <c r="R123">
        <v>-245.46754000000001</v>
      </c>
      <c r="S123">
        <v>-7.73</v>
      </c>
      <c r="T123">
        <f t="shared" si="6"/>
        <v>0</v>
      </c>
      <c r="U123">
        <f t="shared" si="7"/>
        <v>0</v>
      </c>
      <c r="V123">
        <f t="shared" si="8"/>
        <v>0</v>
      </c>
      <c r="W123">
        <f t="shared" si="9"/>
        <v>0</v>
      </c>
      <c r="X123">
        <f t="shared" si="10"/>
        <v>0</v>
      </c>
      <c r="Y123">
        <f t="shared" si="11"/>
        <v>0</v>
      </c>
    </row>
    <row r="124" spans="1:26" hidden="1" x14ac:dyDescent="0.35">
      <c r="A124">
        <v>122</v>
      </c>
      <c r="C124" t="s">
        <v>165</v>
      </c>
      <c r="D124" t="s">
        <v>258</v>
      </c>
      <c r="E124" s="1">
        <v>35934</v>
      </c>
      <c r="F124" t="s">
        <v>24</v>
      </c>
      <c r="G124">
        <v>38036</v>
      </c>
      <c r="H124">
        <v>700.71639805923598</v>
      </c>
      <c r="I124">
        <v>-5.9366444556352196</v>
      </c>
      <c r="J124">
        <v>-7.0071639805923596</v>
      </c>
      <c r="K124">
        <v>4.2380000000000004</v>
      </c>
      <c r="L124">
        <v>-416.15459007348898</v>
      </c>
      <c r="M124">
        <v>601.53994297136296</v>
      </c>
      <c r="N124">
        <v>-4.24431707258353</v>
      </c>
      <c r="O124">
        <v>927.44390684339396</v>
      </c>
      <c r="P124">
        <v>3.9520325024304102</v>
      </c>
      <c r="Q124">
        <v>2.3444908641444901E-2</v>
      </c>
      <c r="R124">
        <v>-254.96557000000001</v>
      </c>
      <c r="S124">
        <v>217.34</v>
      </c>
      <c r="T124">
        <f t="shared" si="6"/>
        <v>0</v>
      </c>
      <c r="U124">
        <f t="shared" si="7"/>
        <v>0</v>
      </c>
      <c r="V124">
        <f t="shared" si="8"/>
        <v>0</v>
      </c>
      <c r="W124">
        <f t="shared" si="9"/>
        <v>0</v>
      </c>
      <c r="X124">
        <f t="shared" si="10"/>
        <v>0</v>
      </c>
      <c r="Y124">
        <f t="shared" si="11"/>
        <v>0</v>
      </c>
    </row>
    <row r="125" spans="1:26" hidden="1" x14ac:dyDescent="0.35">
      <c r="A125">
        <v>123</v>
      </c>
      <c r="C125" t="s">
        <v>259</v>
      </c>
      <c r="D125" t="s">
        <v>260</v>
      </c>
      <c r="E125" s="1">
        <v>35601</v>
      </c>
      <c r="F125" t="s">
        <v>21</v>
      </c>
      <c r="G125">
        <v>49135</v>
      </c>
      <c r="H125">
        <v>659.66001821100997</v>
      </c>
      <c r="I125">
        <v>-6.9445040881963198</v>
      </c>
      <c r="J125">
        <v>-6.5966001821100999</v>
      </c>
      <c r="K125">
        <v>1.7430000000000001</v>
      </c>
      <c r="L125">
        <v>-890.74719691271696</v>
      </c>
      <c r="M125">
        <v>571.86006460660496</v>
      </c>
      <c r="N125">
        <v>-5.1530646476096802</v>
      </c>
      <c r="O125">
        <v>916.875893827195</v>
      </c>
      <c r="P125">
        <v>3.5570491732015799</v>
      </c>
      <c r="Q125">
        <v>0.69527869482813598</v>
      </c>
      <c r="R125">
        <v>-259.86678000000001</v>
      </c>
      <c r="S125">
        <v>231.29</v>
      </c>
      <c r="T125">
        <f t="shared" si="6"/>
        <v>0</v>
      </c>
      <c r="U125">
        <f t="shared" si="7"/>
        <v>0</v>
      </c>
      <c r="V125">
        <f t="shared" si="8"/>
        <v>0</v>
      </c>
      <c r="W125">
        <f t="shared" si="9"/>
        <v>0</v>
      </c>
      <c r="X125">
        <f t="shared" si="10"/>
        <v>0</v>
      </c>
      <c r="Y125">
        <f t="shared" si="11"/>
        <v>0</v>
      </c>
    </row>
    <row r="126" spans="1:26" hidden="1" x14ac:dyDescent="0.35">
      <c r="A126">
        <v>124</v>
      </c>
      <c r="C126" t="s">
        <v>261</v>
      </c>
      <c r="D126" t="s">
        <v>262</v>
      </c>
      <c r="E126" s="1">
        <v>36116</v>
      </c>
      <c r="F126" t="s">
        <v>21</v>
      </c>
      <c r="G126">
        <v>53893</v>
      </c>
      <c r="H126">
        <v>-620.87132822333399</v>
      </c>
      <c r="I126">
        <v>4.1658480591910001</v>
      </c>
      <c r="J126">
        <v>6.2087132822333304</v>
      </c>
      <c r="K126">
        <v>4.5960000000000001</v>
      </c>
      <c r="L126">
        <v>481.41801046943999</v>
      </c>
      <c r="M126">
        <v>574.59786630993801</v>
      </c>
      <c r="N126">
        <v>5.6504017217870404</v>
      </c>
      <c r="O126">
        <v>1048.64477347407</v>
      </c>
      <c r="P126">
        <v>6.0938971565254203</v>
      </c>
      <c r="Q126">
        <v>0.67899819615605606</v>
      </c>
      <c r="R126">
        <v>-231.10205999999999</v>
      </c>
      <c r="S126">
        <v>-36.93</v>
      </c>
      <c r="T126">
        <f t="shared" si="6"/>
        <v>0</v>
      </c>
      <c r="U126">
        <f t="shared" si="7"/>
        <v>0</v>
      </c>
      <c r="V126">
        <f t="shared" si="8"/>
        <v>0</v>
      </c>
      <c r="W126">
        <f t="shared" si="9"/>
        <v>0</v>
      </c>
      <c r="X126">
        <f t="shared" si="10"/>
        <v>0</v>
      </c>
      <c r="Y126">
        <f t="shared" si="11"/>
        <v>0</v>
      </c>
    </row>
    <row r="127" spans="1:26" hidden="1" x14ac:dyDescent="0.35">
      <c r="A127">
        <v>125</v>
      </c>
      <c r="C127" t="s">
        <v>263</v>
      </c>
      <c r="D127" t="s">
        <v>264</v>
      </c>
      <c r="E127" s="1">
        <v>37153</v>
      </c>
      <c r="F127" t="s">
        <v>21</v>
      </c>
      <c r="G127">
        <v>67657</v>
      </c>
      <c r="H127">
        <v>-407.62853708708298</v>
      </c>
      <c r="I127">
        <v>5.76258011890266</v>
      </c>
      <c r="J127">
        <v>4.0762853708708304</v>
      </c>
      <c r="K127">
        <v>6.2429999999999897</v>
      </c>
      <c r="L127">
        <v>517.63374427959002</v>
      </c>
      <c r="M127">
        <v>596.96891300076902</v>
      </c>
      <c r="N127">
        <v>6.0325694338958202</v>
      </c>
      <c r="O127">
        <v>1048.5263892328201</v>
      </c>
      <c r="P127">
        <v>5.7148108983655401</v>
      </c>
      <c r="Q127">
        <v>0.63881472508565196</v>
      </c>
      <c r="R127">
        <v>-230.8486</v>
      </c>
      <c r="S127">
        <v>-37.83</v>
      </c>
      <c r="T127">
        <f t="shared" si="6"/>
        <v>0</v>
      </c>
      <c r="U127">
        <f t="shared" si="7"/>
        <v>0</v>
      </c>
      <c r="V127">
        <f t="shared" si="8"/>
        <v>0</v>
      </c>
      <c r="W127">
        <f t="shared" si="9"/>
        <v>0</v>
      </c>
      <c r="X127">
        <f t="shared" si="10"/>
        <v>0</v>
      </c>
      <c r="Y127">
        <f t="shared" si="11"/>
        <v>0</v>
      </c>
    </row>
    <row r="128" spans="1:26" hidden="1" x14ac:dyDescent="0.35">
      <c r="A128">
        <v>126</v>
      </c>
      <c r="C128" t="s">
        <v>265</v>
      </c>
      <c r="D128" t="s">
        <v>266</v>
      </c>
      <c r="E128" s="1">
        <v>35436</v>
      </c>
      <c r="F128" t="s">
        <v>21</v>
      </c>
      <c r="G128">
        <v>27800</v>
      </c>
      <c r="H128">
        <v>-615.49315663200196</v>
      </c>
      <c r="I128">
        <v>-3.4660666270868399</v>
      </c>
      <c r="J128">
        <v>6.1549315663200197</v>
      </c>
      <c r="K128">
        <v>-5.8019999999999996</v>
      </c>
      <c r="L128">
        <v>-554.202758662159</v>
      </c>
      <c r="M128">
        <v>387.79771560781899</v>
      </c>
      <c r="N128">
        <v>6.1086421247786502</v>
      </c>
      <c r="O128">
        <v>1045.1782545334599</v>
      </c>
      <c r="P128">
        <v>10.7180919480379</v>
      </c>
      <c r="Q128">
        <v>-9.2973622448379895E-2</v>
      </c>
      <c r="R128">
        <v>-247.44910999999999</v>
      </c>
      <c r="S128">
        <v>-42.45</v>
      </c>
      <c r="T128">
        <f t="shared" si="6"/>
        <v>0</v>
      </c>
      <c r="U128">
        <f t="shared" si="7"/>
        <v>0</v>
      </c>
      <c r="V128">
        <f t="shared" si="8"/>
        <v>0</v>
      </c>
      <c r="W128">
        <f t="shared" si="9"/>
        <v>0</v>
      </c>
      <c r="X128">
        <f t="shared" si="10"/>
        <v>0</v>
      </c>
      <c r="Y128">
        <f t="shared" si="11"/>
        <v>0</v>
      </c>
    </row>
    <row r="129" spans="1:26" hidden="1" x14ac:dyDescent="0.35">
      <c r="A129">
        <v>127</v>
      </c>
      <c r="C129" t="s">
        <v>267</v>
      </c>
      <c r="D129" t="s">
        <v>268</v>
      </c>
      <c r="E129" s="1">
        <v>36628</v>
      </c>
      <c r="F129" t="s">
        <v>24</v>
      </c>
      <c r="G129">
        <v>63813</v>
      </c>
      <c r="H129">
        <v>-456.35291407782699</v>
      </c>
      <c r="I129">
        <v>5.0393780650884201</v>
      </c>
      <c r="J129">
        <v>4.5635291407782699</v>
      </c>
      <c r="K129">
        <v>5.2229999999999999</v>
      </c>
      <c r="L129">
        <v>561.84443854739504</v>
      </c>
      <c r="M129">
        <v>556.90127277767999</v>
      </c>
      <c r="N129">
        <v>6.8806238125096302</v>
      </c>
      <c r="O129">
        <v>1066.8495241754099</v>
      </c>
      <c r="P129">
        <v>6.4252230546778204</v>
      </c>
      <c r="Q129">
        <v>0.47321445243091198</v>
      </c>
      <c r="R129">
        <v>-231.30792</v>
      </c>
      <c r="S129">
        <v>-77.09</v>
      </c>
      <c r="T129">
        <f t="shared" si="6"/>
        <v>0</v>
      </c>
      <c r="U129">
        <f t="shared" si="7"/>
        <v>0</v>
      </c>
      <c r="V129">
        <f t="shared" si="8"/>
        <v>0</v>
      </c>
      <c r="W129">
        <f t="shared" si="9"/>
        <v>0</v>
      </c>
      <c r="X129">
        <f t="shared" si="10"/>
        <v>0</v>
      </c>
      <c r="Y129">
        <f t="shared" si="11"/>
        <v>0</v>
      </c>
    </row>
    <row r="130" spans="1:26" hidden="1" x14ac:dyDescent="0.35">
      <c r="A130">
        <v>128</v>
      </c>
      <c r="C130" t="s">
        <v>269</v>
      </c>
      <c r="D130" t="s">
        <v>270</v>
      </c>
      <c r="E130" s="1">
        <v>36081</v>
      </c>
      <c r="F130" t="s">
        <v>21</v>
      </c>
      <c r="G130">
        <v>43656</v>
      </c>
      <c r="H130">
        <v>596.03613685266305</v>
      </c>
      <c r="I130">
        <v>1.9913102983534501</v>
      </c>
      <c r="J130">
        <v>-5.9603613685266303</v>
      </c>
      <c r="K130">
        <v>4.2770000000000001</v>
      </c>
      <c r="L130">
        <v>-492.28406187726802</v>
      </c>
      <c r="M130">
        <v>419.67772030409202</v>
      </c>
      <c r="N130">
        <v>6.4054091196366398</v>
      </c>
      <c r="O130">
        <v>1053.99666842189</v>
      </c>
      <c r="P130">
        <v>8.9368942512708092</v>
      </c>
      <c r="Q130">
        <v>-0.62687726217105699</v>
      </c>
      <c r="R130">
        <v>-246.32435000000001</v>
      </c>
      <c r="S130">
        <v>-17.190000000000001</v>
      </c>
      <c r="T130">
        <f t="shared" si="6"/>
        <v>0</v>
      </c>
      <c r="U130">
        <f t="shared" si="7"/>
        <v>0</v>
      </c>
      <c r="V130">
        <f t="shared" si="8"/>
        <v>0</v>
      </c>
      <c r="W130">
        <f t="shared" si="9"/>
        <v>0</v>
      </c>
      <c r="X130">
        <f t="shared" si="10"/>
        <v>0</v>
      </c>
      <c r="Y130">
        <f t="shared" si="11"/>
        <v>0</v>
      </c>
    </row>
    <row r="131" spans="1:26" hidden="1" x14ac:dyDescent="0.35">
      <c r="A131">
        <v>129</v>
      </c>
      <c r="C131" t="s">
        <v>271</v>
      </c>
      <c r="D131" t="s">
        <v>272</v>
      </c>
      <c r="E131" s="1">
        <v>37152</v>
      </c>
      <c r="F131" t="s">
        <v>21</v>
      </c>
      <c r="G131">
        <v>36849</v>
      </c>
      <c r="H131">
        <v>-421.25122915584501</v>
      </c>
      <c r="I131">
        <v>8.1080268804215905</v>
      </c>
      <c r="J131">
        <v>4.2125122915584496</v>
      </c>
      <c r="K131">
        <v>5.907</v>
      </c>
      <c r="L131">
        <v>845.37604436420997</v>
      </c>
      <c r="M131">
        <v>629.91924280867102</v>
      </c>
      <c r="N131">
        <v>6.4769879272668298</v>
      </c>
      <c r="O131">
        <v>1072.3356635861301</v>
      </c>
      <c r="P131">
        <v>9.42086946342679</v>
      </c>
      <c r="Q131">
        <v>-8.8093342123071003E-2</v>
      </c>
      <c r="R131">
        <v>-226.00381999999999</v>
      </c>
      <c r="S131">
        <v>-0.33</v>
      </c>
      <c r="T131">
        <f t="shared" ref="T131:T194" si="12">IF(I131="",1,0)</f>
        <v>0</v>
      </c>
      <c r="U131">
        <f t="shared" ref="U131:U194" si="13">IF(J131="",1,0)</f>
        <v>0</v>
      </c>
      <c r="V131">
        <f t="shared" ref="V131:V194" si="14">IF(P131="",1,0)</f>
        <v>0</v>
      </c>
      <c r="W131">
        <f t="shared" ref="W131:W194" si="15">IF(R131="",1,0)</f>
        <v>0</v>
      </c>
      <c r="X131">
        <f t="shared" ref="X131:X194" si="16">IF(S131="",1,0)</f>
        <v>0</v>
      </c>
      <c r="Y131">
        <f t="shared" ref="Y131:Y194" si="17">--OR(T131:X131)</f>
        <v>0</v>
      </c>
    </row>
    <row r="132" spans="1:26" hidden="1" x14ac:dyDescent="0.35">
      <c r="A132">
        <v>130</v>
      </c>
      <c r="C132" t="s">
        <v>273</v>
      </c>
      <c r="D132" t="s">
        <v>274</v>
      </c>
      <c r="E132" s="1">
        <v>35673</v>
      </c>
      <c r="F132" t="s">
        <v>24</v>
      </c>
      <c r="G132">
        <v>31333</v>
      </c>
      <c r="H132">
        <v>-538.88890674203503</v>
      </c>
      <c r="I132">
        <v>5.0341643876926003</v>
      </c>
      <c r="J132">
        <v>5.38888906742035</v>
      </c>
      <c r="K132">
        <v>5.093</v>
      </c>
      <c r="L132">
        <v>538.08163835051596</v>
      </c>
      <c r="M132">
        <v>597.04039254757799</v>
      </c>
      <c r="N132">
        <v>6.5068482069945297</v>
      </c>
      <c r="O132">
        <v>1073.1502205982699</v>
      </c>
      <c r="P132">
        <v>10.2498085836454</v>
      </c>
      <c r="Q132">
        <v>-1.40087510410963E-2</v>
      </c>
      <c r="R132">
        <v>-228.41229999999999</v>
      </c>
      <c r="S132">
        <v>-16.09</v>
      </c>
      <c r="T132">
        <f t="shared" si="12"/>
        <v>0</v>
      </c>
      <c r="U132">
        <f t="shared" si="13"/>
        <v>0</v>
      </c>
      <c r="V132">
        <f t="shared" si="14"/>
        <v>0</v>
      </c>
      <c r="W132">
        <f t="shared" si="15"/>
        <v>0</v>
      </c>
      <c r="X132">
        <f t="shared" si="16"/>
        <v>0</v>
      </c>
      <c r="Y132">
        <f t="shared" si="17"/>
        <v>0</v>
      </c>
    </row>
    <row r="133" spans="1:26" hidden="1" x14ac:dyDescent="0.35">
      <c r="A133">
        <v>131</v>
      </c>
      <c r="C133" t="s">
        <v>275</v>
      </c>
      <c r="D133" t="s">
        <v>276</v>
      </c>
      <c r="E133" s="1">
        <v>36693</v>
      </c>
      <c r="F133" t="s">
        <v>24</v>
      </c>
      <c r="G133">
        <v>47148</v>
      </c>
      <c r="H133">
        <v>339.34441564538298</v>
      </c>
      <c r="I133">
        <v>-7.43615719438999</v>
      </c>
      <c r="J133">
        <v>-3.39344415645383</v>
      </c>
      <c r="K133">
        <v>5.3230000000000004</v>
      </c>
      <c r="L133">
        <v>52.497860050300602</v>
      </c>
      <c r="M133">
        <v>547.56897649860798</v>
      </c>
      <c r="N133">
        <v>-1.7428296074606999</v>
      </c>
      <c r="O133">
        <v>970.39935307248004</v>
      </c>
      <c r="P133">
        <v>2.6396119360232801</v>
      </c>
      <c r="Q133">
        <v>0.12444954875653901</v>
      </c>
      <c r="R133">
        <v>-250.57923</v>
      </c>
      <c r="S133">
        <v>69.78</v>
      </c>
      <c r="T133">
        <f t="shared" si="12"/>
        <v>0</v>
      </c>
      <c r="U133">
        <f t="shared" si="13"/>
        <v>0</v>
      </c>
      <c r="V133">
        <f t="shared" si="14"/>
        <v>0</v>
      </c>
      <c r="W133">
        <f t="shared" si="15"/>
        <v>0</v>
      </c>
      <c r="X133">
        <f t="shared" si="16"/>
        <v>0</v>
      </c>
      <c r="Y133">
        <f t="shared" si="17"/>
        <v>0</v>
      </c>
    </row>
    <row r="134" spans="1:26" hidden="1" x14ac:dyDescent="0.35">
      <c r="A134">
        <v>132</v>
      </c>
      <c r="C134" t="s">
        <v>277</v>
      </c>
      <c r="D134" t="s">
        <v>278</v>
      </c>
      <c r="E134" s="1">
        <v>35943</v>
      </c>
      <c r="F134" t="s">
        <v>21</v>
      </c>
      <c r="G134">
        <v>34109</v>
      </c>
      <c r="H134">
        <v>654.51400866812901</v>
      </c>
      <c r="I134">
        <v>-5.1330344408141304</v>
      </c>
      <c r="J134">
        <v>-6.5451400866812897</v>
      </c>
      <c r="K134">
        <v>6.1779999999999999</v>
      </c>
      <c r="L134">
        <v>-189.74025912372301</v>
      </c>
      <c r="M134">
        <v>571.27324431438603</v>
      </c>
      <c r="N134">
        <v>-3.85457312910617</v>
      </c>
      <c r="O134">
        <v>947.67647850311698</v>
      </c>
      <c r="P134">
        <v>2.36346880818386</v>
      </c>
      <c r="Q134">
        <v>-0.246507661115516</v>
      </c>
      <c r="R134">
        <v>-251.755</v>
      </c>
      <c r="S134">
        <v>173</v>
      </c>
      <c r="T134">
        <f t="shared" si="12"/>
        <v>0</v>
      </c>
      <c r="U134">
        <f t="shared" si="13"/>
        <v>0</v>
      </c>
      <c r="V134">
        <f t="shared" si="14"/>
        <v>0</v>
      </c>
      <c r="W134">
        <f t="shared" si="15"/>
        <v>0</v>
      </c>
      <c r="X134">
        <f t="shared" si="16"/>
        <v>0</v>
      </c>
      <c r="Y134">
        <f t="shared" si="17"/>
        <v>0</v>
      </c>
    </row>
    <row r="135" spans="1:26" hidden="1" x14ac:dyDescent="0.35">
      <c r="A135">
        <v>133</v>
      </c>
      <c r="C135" t="s">
        <v>279</v>
      </c>
      <c r="D135" t="s">
        <v>280</v>
      </c>
      <c r="E135" s="1">
        <v>36763</v>
      </c>
      <c r="F135" t="s">
        <v>21</v>
      </c>
      <c r="G135">
        <v>52506</v>
      </c>
      <c r="H135">
        <v>-404.73450817675501</v>
      </c>
      <c r="I135">
        <v>-6.0550301372802702</v>
      </c>
      <c r="J135">
        <v>4.04734508176755</v>
      </c>
      <c r="K135">
        <v>-6.7929999999999904</v>
      </c>
      <c r="L135">
        <v>-398.40474879932998</v>
      </c>
      <c r="M135">
        <v>404.90743341598102</v>
      </c>
      <c r="N135">
        <v>4.07132470479839</v>
      </c>
      <c r="O135">
        <v>1057.5601064105199</v>
      </c>
      <c r="P135">
        <v>10.551311601216</v>
      </c>
      <c r="Q135">
        <v>0.37021626408077601</v>
      </c>
      <c r="R135">
        <v>-252.83402000000001</v>
      </c>
      <c r="S135">
        <v>-66.61</v>
      </c>
      <c r="T135">
        <f t="shared" si="12"/>
        <v>0</v>
      </c>
      <c r="U135">
        <f t="shared" si="13"/>
        <v>0</v>
      </c>
      <c r="V135">
        <f t="shared" si="14"/>
        <v>0</v>
      </c>
      <c r="W135">
        <f t="shared" si="15"/>
        <v>0</v>
      </c>
      <c r="X135">
        <f t="shared" si="16"/>
        <v>0</v>
      </c>
      <c r="Y135">
        <f t="shared" si="17"/>
        <v>0</v>
      </c>
    </row>
    <row r="136" spans="1:26" hidden="1" x14ac:dyDescent="0.35">
      <c r="A136">
        <v>134</v>
      </c>
      <c r="C136" t="s">
        <v>281</v>
      </c>
      <c r="D136" t="s">
        <v>282</v>
      </c>
      <c r="E136" s="1">
        <v>35954</v>
      </c>
      <c r="F136" t="s">
        <v>24</v>
      </c>
      <c r="G136">
        <v>62934</v>
      </c>
      <c r="H136">
        <v>161.560791182521</v>
      </c>
      <c r="I136">
        <v>1.8740908683769499</v>
      </c>
      <c r="J136">
        <v>-1.61560791182521</v>
      </c>
      <c r="K136">
        <v>7.6689999999999996</v>
      </c>
      <c r="L136">
        <v>-730.064722370705</v>
      </c>
      <c r="M136">
        <v>489.14353799736102</v>
      </c>
      <c r="N136">
        <v>4.6894691318544197</v>
      </c>
      <c r="O136">
        <v>1067.0929618146399</v>
      </c>
      <c r="P136">
        <v>7.6591835877369396</v>
      </c>
      <c r="Q136">
        <v>-2.1691876479964902</v>
      </c>
      <c r="R136">
        <v>-241.22110000000001</v>
      </c>
      <c r="S136">
        <v>-26.78</v>
      </c>
      <c r="T136">
        <f t="shared" si="12"/>
        <v>0</v>
      </c>
      <c r="U136">
        <f t="shared" si="13"/>
        <v>0</v>
      </c>
      <c r="V136">
        <f t="shared" si="14"/>
        <v>0</v>
      </c>
      <c r="W136">
        <f t="shared" si="15"/>
        <v>0</v>
      </c>
      <c r="X136">
        <f t="shared" si="16"/>
        <v>0</v>
      </c>
      <c r="Y136">
        <f t="shared" si="17"/>
        <v>0</v>
      </c>
    </row>
    <row r="137" spans="1:26" hidden="1" x14ac:dyDescent="0.35">
      <c r="A137">
        <v>135</v>
      </c>
      <c r="C137" t="s">
        <v>283</v>
      </c>
      <c r="D137" t="s">
        <v>284</v>
      </c>
      <c r="E137" s="1">
        <v>36374</v>
      </c>
      <c r="F137" t="s">
        <v>24</v>
      </c>
      <c r="H137">
        <v>-594.09321495287395</v>
      </c>
      <c r="I137">
        <v>4.3239253162047797</v>
      </c>
      <c r="J137">
        <v>5.9409321495287397</v>
      </c>
      <c r="K137">
        <v>3.875</v>
      </c>
      <c r="L137">
        <v>681.38680068326596</v>
      </c>
      <c r="M137">
        <v>611.94263955254405</v>
      </c>
      <c r="N137">
        <v>2.6382831383495602</v>
      </c>
      <c r="O137">
        <v>1048.02283802189</v>
      </c>
      <c r="P137">
        <v>5.9520527173606697</v>
      </c>
      <c r="Q137">
        <v>-0.41930682511039002</v>
      </c>
      <c r="R137">
        <v>-231.30204000000001</v>
      </c>
      <c r="S137">
        <v>20.28</v>
      </c>
      <c r="T137">
        <f t="shared" si="12"/>
        <v>0</v>
      </c>
      <c r="U137">
        <f t="shared" si="13"/>
        <v>0</v>
      </c>
      <c r="V137">
        <f t="shared" si="14"/>
        <v>0</v>
      </c>
      <c r="W137">
        <f t="shared" si="15"/>
        <v>0</v>
      </c>
      <c r="X137">
        <f t="shared" si="16"/>
        <v>0</v>
      </c>
      <c r="Y137">
        <f t="shared" si="17"/>
        <v>0</v>
      </c>
    </row>
    <row r="138" spans="1:26" hidden="1" x14ac:dyDescent="0.35">
      <c r="A138">
        <v>136</v>
      </c>
      <c r="C138" t="s">
        <v>285</v>
      </c>
      <c r="D138" t="s">
        <v>286</v>
      </c>
      <c r="E138" s="1">
        <v>36196</v>
      </c>
      <c r="F138" t="s">
        <v>24</v>
      </c>
      <c r="G138">
        <v>65778</v>
      </c>
      <c r="H138">
        <v>-614.35528979876199</v>
      </c>
      <c r="I138">
        <v>4.7748312785147604</v>
      </c>
      <c r="J138">
        <v>6.1435528979876199</v>
      </c>
      <c r="K138">
        <v>3.8660000000000001</v>
      </c>
      <c r="L138">
        <v>660.01117286046895</v>
      </c>
      <c r="M138">
        <v>580.95944903516704</v>
      </c>
      <c r="N138">
        <v>4.4429501770308404</v>
      </c>
      <c r="O138">
        <v>1047.1758125694801</v>
      </c>
      <c r="P138">
        <v>4.3255155825993796</v>
      </c>
      <c r="Q138">
        <v>-0.30863550009902402</v>
      </c>
      <c r="R138">
        <v>-231.95398</v>
      </c>
      <c r="S138">
        <v>-38.200000000000003</v>
      </c>
      <c r="T138">
        <f t="shared" si="12"/>
        <v>0</v>
      </c>
      <c r="U138">
        <f t="shared" si="13"/>
        <v>0</v>
      </c>
      <c r="V138">
        <f t="shared" si="14"/>
        <v>0</v>
      </c>
      <c r="W138">
        <f t="shared" si="15"/>
        <v>0</v>
      </c>
      <c r="X138">
        <f t="shared" si="16"/>
        <v>0</v>
      </c>
      <c r="Y138">
        <f t="shared" si="17"/>
        <v>0</v>
      </c>
    </row>
    <row r="139" spans="1:26" hidden="1" x14ac:dyDescent="0.35">
      <c r="A139">
        <v>137</v>
      </c>
      <c r="C139" t="s">
        <v>287</v>
      </c>
      <c r="D139" t="s">
        <v>288</v>
      </c>
      <c r="E139" s="1">
        <v>36371</v>
      </c>
      <c r="F139" t="s">
        <v>21</v>
      </c>
      <c r="G139">
        <v>61741</v>
      </c>
      <c r="H139">
        <v>-641.36620549768804</v>
      </c>
      <c r="I139">
        <v>-5.0758633322598898</v>
      </c>
      <c r="J139">
        <v>6.4136620549768804</v>
      </c>
      <c r="K139">
        <v>-4.5069999999999997</v>
      </c>
      <c r="L139">
        <v>-691.08641332565503</v>
      </c>
      <c r="M139">
        <v>343.57749272070498</v>
      </c>
      <c r="N139">
        <v>7.92791282257215</v>
      </c>
      <c r="O139">
        <v>1039.03549971951</v>
      </c>
      <c r="P139">
        <v>7.6021477569335101</v>
      </c>
      <c r="Q139">
        <v>0.192841793752066</v>
      </c>
      <c r="R139">
        <v>-249.54664</v>
      </c>
      <c r="S139">
        <v>-135.05000000000001</v>
      </c>
      <c r="T139">
        <f t="shared" si="12"/>
        <v>0</v>
      </c>
      <c r="U139">
        <f t="shared" si="13"/>
        <v>0</v>
      </c>
      <c r="V139">
        <f t="shared" si="14"/>
        <v>0</v>
      </c>
      <c r="W139">
        <f t="shared" si="15"/>
        <v>0</v>
      </c>
      <c r="X139">
        <f t="shared" si="16"/>
        <v>0</v>
      </c>
      <c r="Y139">
        <f t="shared" si="17"/>
        <v>0</v>
      </c>
    </row>
    <row r="140" spans="1:26" hidden="1" x14ac:dyDescent="0.35">
      <c r="A140">
        <v>138</v>
      </c>
      <c r="C140" t="s">
        <v>289</v>
      </c>
      <c r="D140" t="s">
        <v>290</v>
      </c>
      <c r="E140" s="1">
        <v>35506</v>
      </c>
      <c r="F140" t="s">
        <v>24</v>
      </c>
      <c r="G140">
        <v>65129</v>
      </c>
      <c r="H140">
        <v>241.00372242792801</v>
      </c>
      <c r="I140">
        <v>-5.9506113665632601</v>
      </c>
      <c r="J140">
        <v>-2.41003722427928</v>
      </c>
      <c r="K140">
        <v>4.133</v>
      </c>
      <c r="L140">
        <v>-448.32948148773801</v>
      </c>
      <c r="M140">
        <v>609.95160272198996</v>
      </c>
      <c r="N140">
        <v>-5.3605446640406704</v>
      </c>
      <c r="O140">
        <v>952.61719487987398</v>
      </c>
      <c r="P140">
        <v>1.8404335866292301</v>
      </c>
      <c r="Q140">
        <v>-0.149213089629465</v>
      </c>
      <c r="R140">
        <v>-252.69629</v>
      </c>
      <c r="S140">
        <v>159.55000000000001</v>
      </c>
      <c r="T140">
        <f t="shared" si="12"/>
        <v>0</v>
      </c>
      <c r="U140">
        <f t="shared" si="13"/>
        <v>0</v>
      </c>
      <c r="V140">
        <f t="shared" si="14"/>
        <v>0</v>
      </c>
      <c r="W140">
        <f t="shared" si="15"/>
        <v>0</v>
      </c>
      <c r="X140">
        <f t="shared" si="16"/>
        <v>0</v>
      </c>
      <c r="Y140">
        <f t="shared" si="17"/>
        <v>0</v>
      </c>
    </row>
    <row r="141" spans="1:26" hidden="1" x14ac:dyDescent="0.35">
      <c r="A141">
        <v>139</v>
      </c>
      <c r="C141" t="s">
        <v>291</v>
      </c>
      <c r="D141" t="s">
        <v>292</v>
      </c>
      <c r="E141" s="1">
        <v>36921</v>
      </c>
      <c r="F141" t="s">
        <v>24</v>
      </c>
      <c r="G141">
        <v>58803</v>
      </c>
      <c r="H141">
        <v>450.263564146421</v>
      </c>
      <c r="I141">
        <v>4.8545639010088104</v>
      </c>
      <c r="J141">
        <v>-4.5026356414642104</v>
      </c>
      <c r="K141">
        <v>5.1859999999999999</v>
      </c>
      <c r="L141">
        <v>-577.79003882113398</v>
      </c>
      <c r="M141">
        <v>439.55221671845402</v>
      </c>
      <c r="N141">
        <v>5.8507247501015698</v>
      </c>
      <c r="O141">
        <v>1051.7058015397999</v>
      </c>
      <c r="P141">
        <v>6.7642459705865798</v>
      </c>
      <c r="Q141">
        <v>1.44184227802443</v>
      </c>
      <c r="R141">
        <v>-243.66953000000001</v>
      </c>
      <c r="S141">
        <v>-8.84</v>
      </c>
      <c r="T141">
        <f t="shared" si="12"/>
        <v>0</v>
      </c>
      <c r="U141">
        <f t="shared" si="13"/>
        <v>0</v>
      </c>
      <c r="V141">
        <f t="shared" si="14"/>
        <v>0</v>
      </c>
      <c r="W141">
        <f t="shared" si="15"/>
        <v>0</v>
      </c>
      <c r="X141">
        <f t="shared" si="16"/>
        <v>0</v>
      </c>
      <c r="Y141">
        <f t="shared" si="17"/>
        <v>0</v>
      </c>
    </row>
    <row r="142" spans="1:26" hidden="1" x14ac:dyDescent="0.35">
      <c r="A142">
        <v>140</v>
      </c>
      <c r="C142" t="s">
        <v>293</v>
      </c>
      <c r="D142" t="s">
        <v>278</v>
      </c>
      <c r="E142" s="1">
        <v>36884</v>
      </c>
      <c r="F142" t="s">
        <v>24</v>
      </c>
      <c r="G142">
        <v>64611</v>
      </c>
      <c r="H142">
        <v>364.682369221165</v>
      </c>
      <c r="I142">
        <v>-0.33545668114841298</v>
      </c>
      <c r="J142">
        <v>-3.6468236922116501</v>
      </c>
      <c r="K142">
        <v>8.4819999999999993</v>
      </c>
      <c r="L142">
        <v>-648.11754679897604</v>
      </c>
      <c r="M142">
        <v>433.94398672723099</v>
      </c>
      <c r="N142">
        <v>6.38619111001384</v>
      </c>
      <c r="O142">
        <v>1072.82054869886</v>
      </c>
      <c r="P142">
        <v>7.3766803079656302</v>
      </c>
      <c r="Q142">
        <v>2.8805937963931698</v>
      </c>
      <c r="R142">
        <v>-243.60355000000001</v>
      </c>
      <c r="S142">
        <v>-89.81</v>
      </c>
      <c r="T142">
        <f t="shared" si="12"/>
        <v>0</v>
      </c>
      <c r="U142">
        <f t="shared" si="13"/>
        <v>0</v>
      </c>
      <c r="V142">
        <f t="shared" si="14"/>
        <v>0</v>
      </c>
      <c r="W142">
        <f t="shared" si="15"/>
        <v>0</v>
      </c>
      <c r="X142">
        <f t="shared" si="16"/>
        <v>0</v>
      </c>
      <c r="Y142">
        <f t="shared" si="17"/>
        <v>0</v>
      </c>
    </row>
    <row r="143" spans="1:26" hidden="1" x14ac:dyDescent="0.35">
      <c r="A143">
        <v>141</v>
      </c>
      <c r="C143" t="s">
        <v>294</v>
      </c>
      <c r="D143" t="s">
        <v>295</v>
      </c>
      <c r="E143" s="1">
        <v>35798</v>
      </c>
      <c r="F143" t="s">
        <v>24</v>
      </c>
      <c r="G143">
        <v>19537</v>
      </c>
      <c r="H143">
        <v>-478.542427625919</v>
      </c>
      <c r="I143">
        <v>6.4508528358328103</v>
      </c>
      <c r="J143">
        <v>4.7854242762591896</v>
      </c>
      <c r="K143">
        <v>4.1680000000000001</v>
      </c>
      <c r="L143">
        <v>253.349863221752</v>
      </c>
      <c r="M143">
        <v>571.23083418542296</v>
      </c>
      <c r="N143">
        <v>4.47392427816626</v>
      </c>
      <c r="O143">
        <v>1051.9048013823699</v>
      </c>
      <c r="P143">
        <v>8.3836592111680694</v>
      </c>
      <c r="Q143">
        <v>-0.62311863118871602</v>
      </c>
      <c r="R143">
        <v>-230.22300999999999</v>
      </c>
      <c r="S143">
        <v>52.82</v>
      </c>
      <c r="T143">
        <f t="shared" si="12"/>
        <v>0</v>
      </c>
      <c r="U143">
        <f t="shared" si="13"/>
        <v>0</v>
      </c>
      <c r="V143">
        <f t="shared" si="14"/>
        <v>0</v>
      </c>
      <c r="W143">
        <f t="shared" si="15"/>
        <v>0</v>
      </c>
      <c r="X143">
        <f t="shared" si="16"/>
        <v>0</v>
      </c>
      <c r="Y143">
        <f t="shared" si="17"/>
        <v>0</v>
      </c>
    </row>
    <row r="144" spans="1:26" x14ac:dyDescent="0.35">
      <c r="A144">
        <v>142</v>
      </c>
      <c r="C144" t="s">
        <v>296</v>
      </c>
      <c r="D144" t="s">
        <v>297</v>
      </c>
      <c r="E144" s="1">
        <v>36762</v>
      </c>
      <c r="F144" t="s">
        <v>24</v>
      </c>
      <c r="G144">
        <v>56513</v>
      </c>
      <c r="H144">
        <v>426.22843032078799</v>
      </c>
      <c r="J144">
        <v>-4.2622843032078803</v>
      </c>
      <c r="K144">
        <v>4.0209999999999999</v>
      </c>
      <c r="L144">
        <v>-525.99365603595595</v>
      </c>
      <c r="M144">
        <v>553.18900134461796</v>
      </c>
      <c r="N144">
        <v>-5.02868379624804</v>
      </c>
      <c r="O144">
        <v>941.23595118542005</v>
      </c>
      <c r="P144">
        <v>0.559390483827931</v>
      </c>
      <c r="Q144">
        <v>-2.0534400251517999</v>
      </c>
      <c r="R144">
        <v>-255.06361999999999</v>
      </c>
      <c r="S144">
        <v>159.28</v>
      </c>
      <c r="T144">
        <f t="shared" si="12"/>
        <v>1</v>
      </c>
      <c r="U144">
        <f t="shared" si="13"/>
        <v>0</v>
      </c>
      <c r="V144">
        <f t="shared" si="14"/>
        <v>0</v>
      </c>
      <c r="W144">
        <f t="shared" si="15"/>
        <v>0</v>
      </c>
      <c r="X144">
        <f t="shared" si="16"/>
        <v>0</v>
      </c>
      <c r="Y144">
        <f t="shared" si="17"/>
        <v>1</v>
      </c>
      <c r="Z144">
        <f>SUM(T144:X144)</f>
        <v>1</v>
      </c>
    </row>
    <row r="145" spans="1:25" hidden="1" x14ac:dyDescent="0.35">
      <c r="A145">
        <v>143</v>
      </c>
      <c r="C145" t="s">
        <v>298</v>
      </c>
      <c r="D145" t="s">
        <v>299</v>
      </c>
      <c r="E145" s="1">
        <v>37174</v>
      </c>
      <c r="F145" t="s">
        <v>24</v>
      </c>
      <c r="G145">
        <v>62745</v>
      </c>
      <c r="H145">
        <v>-500.34621627622801</v>
      </c>
      <c r="I145">
        <v>4.5229250597977702</v>
      </c>
      <c r="J145">
        <v>5.00346216276228</v>
      </c>
      <c r="K145">
        <v>5.4660000000000002</v>
      </c>
      <c r="L145">
        <v>417.03041702966402</v>
      </c>
      <c r="M145">
        <v>541.20545745232403</v>
      </c>
      <c r="N145">
        <v>5.3576664762287596</v>
      </c>
      <c r="O145">
        <v>1041.2854386527199</v>
      </c>
      <c r="P145">
        <v>3.49592040404979</v>
      </c>
      <c r="Q145">
        <v>0.36404247849749399</v>
      </c>
      <c r="R145">
        <v>-232.55704</v>
      </c>
      <c r="S145">
        <v>-50.32</v>
      </c>
      <c r="T145">
        <f t="shared" si="12"/>
        <v>0</v>
      </c>
      <c r="U145">
        <f t="shared" si="13"/>
        <v>0</v>
      </c>
      <c r="V145">
        <f t="shared" si="14"/>
        <v>0</v>
      </c>
      <c r="W145">
        <f t="shared" si="15"/>
        <v>0</v>
      </c>
      <c r="X145">
        <f t="shared" si="16"/>
        <v>0</v>
      </c>
      <c r="Y145">
        <f t="shared" si="17"/>
        <v>0</v>
      </c>
    </row>
    <row r="146" spans="1:25" hidden="1" x14ac:dyDescent="0.35">
      <c r="A146">
        <v>144</v>
      </c>
      <c r="C146" t="s">
        <v>300</v>
      </c>
      <c r="D146" t="s">
        <v>301</v>
      </c>
      <c r="E146" s="1">
        <v>36032</v>
      </c>
      <c r="F146" t="s">
        <v>24</v>
      </c>
      <c r="G146">
        <v>37094</v>
      </c>
      <c r="H146">
        <v>699.43409468310995</v>
      </c>
      <c r="I146">
        <v>-5.9311475282738897</v>
      </c>
      <c r="J146">
        <v>-6.9943409468311</v>
      </c>
      <c r="K146">
        <v>4.2619999999999996</v>
      </c>
      <c r="L146">
        <v>-708.05598088578495</v>
      </c>
      <c r="M146">
        <v>539.11496950272203</v>
      </c>
      <c r="N146">
        <v>-5.2712791609170502</v>
      </c>
      <c r="O146">
        <v>917.216274893167</v>
      </c>
      <c r="P146">
        <v>0.89657158270989701</v>
      </c>
      <c r="Q146">
        <v>1.6316208479574701</v>
      </c>
      <c r="R146">
        <v>-256.99365999999998</v>
      </c>
      <c r="S146">
        <v>219.96</v>
      </c>
      <c r="T146">
        <f t="shared" si="12"/>
        <v>0</v>
      </c>
      <c r="U146">
        <f t="shared" si="13"/>
        <v>0</v>
      </c>
      <c r="V146">
        <f t="shared" si="14"/>
        <v>0</v>
      </c>
      <c r="W146">
        <f t="shared" si="15"/>
        <v>0</v>
      </c>
      <c r="X146">
        <f t="shared" si="16"/>
        <v>0</v>
      </c>
      <c r="Y146">
        <f t="shared" si="17"/>
        <v>0</v>
      </c>
    </row>
    <row r="147" spans="1:25" hidden="1" x14ac:dyDescent="0.35">
      <c r="A147">
        <v>145</v>
      </c>
      <c r="C147" t="s">
        <v>302</v>
      </c>
      <c r="D147" t="s">
        <v>303</v>
      </c>
      <c r="E147" s="1">
        <v>36365</v>
      </c>
      <c r="F147" t="s">
        <v>24</v>
      </c>
      <c r="G147">
        <v>75922</v>
      </c>
      <c r="H147">
        <v>-488.14030708980101</v>
      </c>
      <c r="I147">
        <v>6.7386666647013396</v>
      </c>
      <c r="J147">
        <v>4.8814030708980098</v>
      </c>
      <c r="K147">
        <v>6.1820000000000004</v>
      </c>
      <c r="L147">
        <v>350.34683172703399</v>
      </c>
      <c r="M147">
        <v>663.31433437582996</v>
      </c>
      <c r="N147">
        <v>4.1235390926967099</v>
      </c>
      <c r="O147">
        <v>1030.13340053857</v>
      </c>
      <c r="P147">
        <v>5.4961876830396799</v>
      </c>
      <c r="Q147">
        <v>0.123249023081469</v>
      </c>
      <c r="R147">
        <v>-230.55533</v>
      </c>
      <c r="S147">
        <v>25.83</v>
      </c>
      <c r="T147">
        <f t="shared" si="12"/>
        <v>0</v>
      </c>
      <c r="U147">
        <f t="shared" si="13"/>
        <v>0</v>
      </c>
      <c r="V147">
        <f t="shared" si="14"/>
        <v>0</v>
      </c>
      <c r="W147">
        <f t="shared" si="15"/>
        <v>0</v>
      </c>
      <c r="X147">
        <f t="shared" si="16"/>
        <v>0</v>
      </c>
      <c r="Y147">
        <f t="shared" si="17"/>
        <v>0</v>
      </c>
    </row>
    <row r="148" spans="1:25" hidden="1" x14ac:dyDescent="0.35">
      <c r="A148">
        <v>146</v>
      </c>
      <c r="C148" t="s">
        <v>304</v>
      </c>
      <c r="D148" t="s">
        <v>305</v>
      </c>
      <c r="E148" s="1">
        <v>36920</v>
      </c>
      <c r="F148" t="s">
        <v>21</v>
      </c>
      <c r="G148">
        <v>34120</v>
      </c>
      <c r="H148">
        <v>-527.65381648061498</v>
      </c>
      <c r="I148">
        <v>6.8216010817330099</v>
      </c>
      <c r="J148">
        <v>5.2765381648061496</v>
      </c>
      <c r="K148">
        <v>5.452</v>
      </c>
      <c r="L148">
        <v>403.61756978940599</v>
      </c>
      <c r="N148">
        <v>2.9890215412317298</v>
      </c>
      <c r="O148">
        <v>1051.3337744938499</v>
      </c>
      <c r="P148">
        <v>5.8559489882160198</v>
      </c>
      <c r="Q148">
        <v>-0.432712354036146</v>
      </c>
      <c r="R148">
        <v>-229.27591000000001</v>
      </c>
      <c r="S148">
        <v>45.16</v>
      </c>
      <c r="T148">
        <f t="shared" si="12"/>
        <v>0</v>
      </c>
      <c r="U148">
        <f t="shared" si="13"/>
        <v>0</v>
      </c>
      <c r="V148">
        <f t="shared" si="14"/>
        <v>0</v>
      </c>
      <c r="W148">
        <f t="shared" si="15"/>
        <v>0</v>
      </c>
      <c r="X148">
        <f t="shared" si="16"/>
        <v>0</v>
      </c>
      <c r="Y148">
        <f t="shared" si="17"/>
        <v>0</v>
      </c>
    </row>
    <row r="149" spans="1:25" hidden="1" x14ac:dyDescent="0.35">
      <c r="A149">
        <v>147</v>
      </c>
      <c r="C149" t="s">
        <v>306</v>
      </c>
      <c r="D149" t="s">
        <v>307</v>
      </c>
      <c r="E149" s="1">
        <v>36614</v>
      </c>
      <c r="F149" t="s">
        <v>24</v>
      </c>
      <c r="G149">
        <v>55588</v>
      </c>
      <c r="H149">
        <v>532.92275275660904</v>
      </c>
      <c r="I149">
        <v>1.8247573606304499</v>
      </c>
      <c r="J149">
        <v>-5.3292275275660899</v>
      </c>
      <c r="K149">
        <v>5.5939999999999896</v>
      </c>
      <c r="L149">
        <v>-548.219591068608</v>
      </c>
      <c r="M149">
        <v>409.54516570361898</v>
      </c>
      <c r="N149">
        <v>4.3846262649689098</v>
      </c>
      <c r="O149">
        <v>1063.5312457356099</v>
      </c>
      <c r="P149">
        <v>6.1648007805878597</v>
      </c>
      <c r="Q149">
        <v>0.27288947527188301</v>
      </c>
      <c r="R149">
        <v>-246.37458000000001</v>
      </c>
      <c r="S149">
        <v>-32.35</v>
      </c>
      <c r="T149">
        <f t="shared" si="12"/>
        <v>0</v>
      </c>
      <c r="U149">
        <f t="shared" si="13"/>
        <v>0</v>
      </c>
      <c r="V149">
        <f t="shared" si="14"/>
        <v>0</v>
      </c>
      <c r="W149">
        <f t="shared" si="15"/>
        <v>0</v>
      </c>
      <c r="X149">
        <f t="shared" si="16"/>
        <v>0</v>
      </c>
      <c r="Y149">
        <f t="shared" si="17"/>
        <v>0</v>
      </c>
    </row>
    <row r="150" spans="1:25" hidden="1" x14ac:dyDescent="0.35">
      <c r="A150">
        <v>148</v>
      </c>
      <c r="C150" t="s">
        <v>308</v>
      </c>
      <c r="D150" t="s">
        <v>309</v>
      </c>
      <c r="E150" s="1">
        <v>35473</v>
      </c>
      <c r="F150" t="s">
        <v>24</v>
      </c>
      <c r="G150">
        <v>50463</v>
      </c>
      <c r="H150">
        <v>506.03310152819802</v>
      </c>
      <c r="I150">
        <v>5.6069070337034699</v>
      </c>
      <c r="J150">
        <v>-5.0603310152819798</v>
      </c>
      <c r="K150">
        <v>6.7510000000000003</v>
      </c>
      <c r="L150">
        <v>-550.46193476488099</v>
      </c>
      <c r="M150">
        <v>403.13730879828699</v>
      </c>
      <c r="N150">
        <v>3.1842935181793202</v>
      </c>
      <c r="O150">
        <v>1052.50029009061</v>
      </c>
      <c r="P150">
        <v>3.0116932116422199</v>
      </c>
      <c r="Q150">
        <v>1.3075839424332101</v>
      </c>
      <c r="R150">
        <v>-243.35088999999999</v>
      </c>
      <c r="S150">
        <v>9.27</v>
      </c>
      <c r="T150">
        <f t="shared" si="12"/>
        <v>0</v>
      </c>
      <c r="U150">
        <f t="shared" si="13"/>
        <v>0</v>
      </c>
      <c r="V150">
        <f t="shared" si="14"/>
        <v>0</v>
      </c>
      <c r="W150">
        <f t="shared" si="15"/>
        <v>0</v>
      </c>
      <c r="X150">
        <f t="shared" si="16"/>
        <v>0</v>
      </c>
      <c r="Y150">
        <f t="shared" si="17"/>
        <v>0</v>
      </c>
    </row>
    <row r="151" spans="1:25" hidden="1" x14ac:dyDescent="0.35">
      <c r="A151">
        <v>149</v>
      </c>
      <c r="C151" t="s">
        <v>310</v>
      </c>
      <c r="D151" t="s">
        <v>311</v>
      </c>
      <c r="E151" s="1">
        <v>35905</v>
      </c>
      <c r="F151" t="s">
        <v>24</v>
      </c>
      <c r="G151">
        <v>64402</v>
      </c>
      <c r="H151">
        <v>-553.61298875439195</v>
      </c>
      <c r="I151">
        <v>5.8297892577221901</v>
      </c>
      <c r="J151">
        <v>5.53612988754392</v>
      </c>
      <c r="K151">
        <v>4.6050000000000004</v>
      </c>
      <c r="L151">
        <v>581.43406361173504</v>
      </c>
      <c r="M151">
        <v>572.97566285933203</v>
      </c>
      <c r="N151">
        <v>4.3291885793934499</v>
      </c>
      <c r="P151">
        <v>4.2432883738548499</v>
      </c>
      <c r="Q151">
        <v>-0.85193856268471402</v>
      </c>
      <c r="R151">
        <v>-231.36291</v>
      </c>
      <c r="S151">
        <v>-34.08</v>
      </c>
      <c r="T151">
        <f t="shared" si="12"/>
        <v>0</v>
      </c>
      <c r="U151">
        <f t="shared" si="13"/>
        <v>0</v>
      </c>
      <c r="V151">
        <f t="shared" si="14"/>
        <v>0</v>
      </c>
      <c r="W151">
        <f t="shared" si="15"/>
        <v>0</v>
      </c>
      <c r="X151">
        <f t="shared" si="16"/>
        <v>0</v>
      </c>
      <c r="Y151">
        <f t="shared" si="17"/>
        <v>0</v>
      </c>
    </row>
    <row r="152" spans="1:25" hidden="1" x14ac:dyDescent="0.35">
      <c r="A152">
        <v>150</v>
      </c>
      <c r="C152" t="s">
        <v>312</v>
      </c>
      <c r="D152" t="s">
        <v>313</v>
      </c>
      <c r="E152" s="1">
        <v>35819</v>
      </c>
      <c r="F152" t="s">
        <v>21</v>
      </c>
      <c r="G152">
        <v>46635</v>
      </c>
      <c r="H152">
        <v>627.88894369241302</v>
      </c>
      <c r="I152">
        <v>4.5782592017167696</v>
      </c>
      <c r="J152">
        <v>-6.2788894369241302</v>
      </c>
      <c r="K152">
        <v>3.32</v>
      </c>
      <c r="L152">
        <v>-335.08289914070002</v>
      </c>
      <c r="M152">
        <v>381.31586799602599</v>
      </c>
      <c r="N152">
        <v>5.5642503434885597</v>
      </c>
      <c r="O152">
        <v>1038.9517955215599</v>
      </c>
      <c r="P152">
        <v>5.0535998920565302</v>
      </c>
      <c r="Q152">
        <v>-0.44693855063208099</v>
      </c>
      <c r="R152">
        <v>-246.63226</v>
      </c>
      <c r="S152">
        <v>-5.97</v>
      </c>
      <c r="T152">
        <f t="shared" si="12"/>
        <v>0</v>
      </c>
      <c r="U152">
        <f t="shared" si="13"/>
        <v>0</v>
      </c>
      <c r="V152">
        <f t="shared" si="14"/>
        <v>0</v>
      </c>
      <c r="W152">
        <f t="shared" si="15"/>
        <v>0</v>
      </c>
      <c r="X152">
        <f t="shared" si="16"/>
        <v>0</v>
      </c>
      <c r="Y152">
        <f t="shared" si="17"/>
        <v>0</v>
      </c>
    </row>
    <row r="153" spans="1:25" hidden="1" x14ac:dyDescent="0.35">
      <c r="A153">
        <v>151</v>
      </c>
      <c r="C153" t="s">
        <v>314</v>
      </c>
      <c r="D153" t="s">
        <v>315</v>
      </c>
      <c r="E153" s="1">
        <v>36095</v>
      </c>
      <c r="F153" t="s">
        <v>21</v>
      </c>
      <c r="G153">
        <v>60599</v>
      </c>
      <c r="H153">
        <v>309.072550466596</v>
      </c>
      <c r="I153">
        <v>-5.33388988981699</v>
      </c>
      <c r="J153">
        <v>-3.0907255046659601</v>
      </c>
      <c r="K153">
        <v>4.8360000000000003</v>
      </c>
      <c r="L153">
        <v>-627.90394393355302</v>
      </c>
      <c r="M153">
        <v>611.41245217970595</v>
      </c>
      <c r="N153">
        <v>-4.29831496477121</v>
      </c>
      <c r="O153">
        <v>967.89961402869096</v>
      </c>
      <c r="P153">
        <v>4.1321861586748101</v>
      </c>
      <c r="Q153">
        <v>-2.2558373555325999</v>
      </c>
      <c r="R153">
        <v>-251.85032000000001</v>
      </c>
      <c r="S153">
        <v>158.5</v>
      </c>
      <c r="T153">
        <f t="shared" si="12"/>
        <v>0</v>
      </c>
      <c r="U153">
        <f t="shared" si="13"/>
        <v>0</v>
      </c>
      <c r="V153">
        <f t="shared" si="14"/>
        <v>0</v>
      </c>
      <c r="W153">
        <f t="shared" si="15"/>
        <v>0</v>
      </c>
      <c r="X153">
        <f t="shared" si="16"/>
        <v>0</v>
      </c>
      <c r="Y153">
        <f t="shared" si="17"/>
        <v>0</v>
      </c>
    </row>
    <row r="154" spans="1:25" hidden="1" x14ac:dyDescent="0.35">
      <c r="A154">
        <v>152</v>
      </c>
      <c r="C154" t="s">
        <v>316</v>
      </c>
      <c r="D154" t="s">
        <v>148</v>
      </c>
      <c r="E154" s="1">
        <v>36384</v>
      </c>
      <c r="F154" t="s">
        <v>21</v>
      </c>
      <c r="G154">
        <v>46160</v>
      </c>
      <c r="H154">
        <v>679.84192940012701</v>
      </c>
      <c r="I154">
        <v>-4.9125717140709204</v>
      </c>
      <c r="J154">
        <v>-6.7984192940012598</v>
      </c>
      <c r="K154">
        <v>5.681</v>
      </c>
      <c r="L154">
        <v>-384.99772320442401</v>
      </c>
      <c r="M154">
        <v>592.04538091027405</v>
      </c>
      <c r="N154">
        <v>-4.55724704527921</v>
      </c>
      <c r="O154">
        <v>930.90098715922704</v>
      </c>
      <c r="P154">
        <v>1.8035303436190799</v>
      </c>
      <c r="Q154">
        <v>-1.1762211033940999</v>
      </c>
      <c r="R154">
        <v>-253.60890000000001</v>
      </c>
      <c r="S154">
        <v>199.79</v>
      </c>
      <c r="T154">
        <f t="shared" si="12"/>
        <v>0</v>
      </c>
      <c r="U154">
        <f t="shared" si="13"/>
        <v>0</v>
      </c>
      <c r="V154">
        <f t="shared" si="14"/>
        <v>0</v>
      </c>
      <c r="W154">
        <f t="shared" si="15"/>
        <v>0</v>
      </c>
      <c r="X154">
        <f t="shared" si="16"/>
        <v>0</v>
      </c>
      <c r="Y154">
        <f t="shared" si="17"/>
        <v>0</v>
      </c>
    </row>
    <row r="155" spans="1:25" hidden="1" x14ac:dyDescent="0.35">
      <c r="A155">
        <v>153</v>
      </c>
      <c r="C155" t="s">
        <v>317</v>
      </c>
      <c r="D155" t="s">
        <v>318</v>
      </c>
      <c r="E155" s="1">
        <v>36187</v>
      </c>
      <c r="F155" t="s">
        <v>24</v>
      </c>
      <c r="G155">
        <v>48223</v>
      </c>
      <c r="H155">
        <v>-575.90895736228003</v>
      </c>
      <c r="I155">
        <v>4.0034526079766799</v>
      </c>
      <c r="J155">
        <v>5.7590895736228003</v>
      </c>
      <c r="K155">
        <v>3.919</v>
      </c>
      <c r="L155">
        <v>25.335576645983799</v>
      </c>
      <c r="M155">
        <v>534.84109294865902</v>
      </c>
      <c r="N155">
        <v>4.2971507387694796</v>
      </c>
      <c r="O155">
        <v>1020.46713821397</v>
      </c>
      <c r="P155">
        <v>4.0549780194209397</v>
      </c>
      <c r="Q155">
        <v>0.81146066253340199</v>
      </c>
      <c r="R155">
        <v>-234.39490000000001</v>
      </c>
      <c r="S155">
        <v>11.07</v>
      </c>
      <c r="T155">
        <f t="shared" si="12"/>
        <v>0</v>
      </c>
      <c r="U155">
        <f t="shared" si="13"/>
        <v>0</v>
      </c>
      <c r="V155">
        <f t="shared" si="14"/>
        <v>0</v>
      </c>
      <c r="W155">
        <f t="shared" si="15"/>
        <v>0</v>
      </c>
      <c r="X155">
        <f t="shared" si="16"/>
        <v>0</v>
      </c>
      <c r="Y155">
        <f t="shared" si="17"/>
        <v>0</v>
      </c>
    </row>
    <row r="156" spans="1:25" hidden="1" x14ac:dyDescent="0.35">
      <c r="A156">
        <v>154</v>
      </c>
      <c r="C156" t="s">
        <v>319</v>
      </c>
      <c r="D156" t="s">
        <v>320</v>
      </c>
      <c r="E156" s="1">
        <v>36195</v>
      </c>
      <c r="F156" t="s">
        <v>24</v>
      </c>
      <c r="G156">
        <v>54642</v>
      </c>
      <c r="H156">
        <v>-434.87362532731998</v>
      </c>
      <c r="I156">
        <v>8.3294287387590895</v>
      </c>
      <c r="J156">
        <v>4.3487362532732003</v>
      </c>
      <c r="K156">
        <v>5.5090000000000003</v>
      </c>
      <c r="L156">
        <v>593.63186048512</v>
      </c>
      <c r="M156">
        <v>572.11805528445996</v>
      </c>
      <c r="N156">
        <v>3.7489217752226698</v>
      </c>
      <c r="O156">
        <v>1044.92670427747</v>
      </c>
      <c r="P156">
        <v>3.0628767416457099</v>
      </c>
      <c r="Q156">
        <v>0.77428150176412003</v>
      </c>
      <c r="R156">
        <v>-229.91745</v>
      </c>
      <c r="S156">
        <v>8.33</v>
      </c>
      <c r="T156">
        <f t="shared" si="12"/>
        <v>0</v>
      </c>
      <c r="U156">
        <f t="shared" si="13"/>
        <v>0</v>
      </c>
      <c r="V156">
        <f t="shared" si="14"/>
        <v>0</v>
      </c>
      <c r="W156">
        <f t="shared" si="15"/>
        <v>0</v>
      </c>
      <c r="X156">
        <f t="shared" si="16"/>
        <v>0</v>
      </c>
      <c r="Y156">
        <f t="shared" si="17"/>
        <v>0</v>
      </c>
    </row>
    <row r="157" spans="1:25" hidden="1" x14ac:dyDescent="0.35">
      <c r="A157">
        <v>155</v>
      </c>
      <c r="C157" t="s">
        <v>321</v>
      </c>
      <c r="D157" t="s">
        <v>322</v>
      </c>
      <c r="E157" s="1">
        <v>35803</v>
      </c>
      <c r="F157" t="s">
        <v>24</v>
      </c>
      <c r="G157">
        <v>68050</v>
      </c>
      <c r="H157">
        <v>440.27736929605101</v>
      </c>
      <c r="I157">
        <v>-3.3908257104685902</v>
      </c>
      <c r="J157">
        <v>-4.4027736929605101</v>
      </c>
      <c r="K157">
        <v>5.492</v>
      </c>
      <c r="L157">
        <v>-323.26431977016603</v>
      </c>
      <c r="M157">
        <v>666.93446335157103</v>
      </c>
      <c r="N157">
        <v>-6.0896513946475199</v>
      </c>
      <c r="O157">
        <v>959.94638570617701</v>
      </c>
      <c r="P157">
        <v>2.8784079815046999</v>
      </c>
      <c r="Q157">
        <v>0.585387429888371</v>
      </c>
      <c r="R157">
        <v>-250.91131999999999</v>
      </c>
      <c r="S157">
        <v>198.78</v>
      </c>
      <c r="T157">
        <f t="shared" si="12"/>
        <v>0</v>
      </c>
      <c r="U157">
        <f t="shared" si="13"/>
        <v>0</v>
      </c>
      <c r="V157">
        <f t="shared" si="14"/>
        <v>0</v>
      </c>
      <c r="W157">
        <f t="shared" si="15"/>
        <v>0</v>
      </c>
      <c r="X157">
        <f t="shared" si="16"/>
        <v>0</v>
      </c>
      <c r="Y157">
        <f t="shared" si="17"/>
        <v>0</v>
      </c>
    </row>
    <row r="158" spans="1:25" hidden="1" x14ac:dyDescent="0.35">
      <c r="A158">
        <v>156</v>
      </c>
      <c r="C158" t="s">
        <v>323</v>
      </c>
      <c r="D158" t="s">
        <v>324</v>
      </c>
      <c r="E158" s="1">
        <v>35435</v>
      </c>
      <c r="F158" t="s">
        <v>21</v>
      </c>
      <c r="G158">
        <v>33160</v>
      </c>
      <c r="H158">
        <v>568.26570752981502</v>
      </c>
      <c r="I158">
        <v>9.5397652600951606</v>
      </c>
      <c r="J158">
        <v>-5.6826570752981498</v>
      </c>
      <c r="K158">
        <v>2.1669999999999998</v>
      </c>
      <c r="L158">
        <v>-383.62330135549502</v>
      </c>
      <c r="M158">
        <v>339.72076204608197</v>
      </c>
      <c r="N158">
        <v>5.6749585017776196</v>
      </c>
      <c r="O158">
        <v>1032.95069228647</v>
      </c>
      <c r="P158">
        <v>3.14001990778906</v>
      </c>
      <c r="Q158">
        <v>-1.7275506974811401</v>
      </c>
      <c r="R158">
        <v>-243.99712</v>
      </c>
      <c r="S158">
        <v>33.44</v>
      </c>
      <c r="T158">
        <f t="shared" si="12"/>
        <v>0</v>
      </c>
      <c r="U158">
        <f t="shared" si="13"/>
        <v>0</v>
      </c>
      <c r="V158">
        <f t="shared" si="14"/>
        <v>0</v>
      </c>
      <c r="W158">
        <f t="shared" si="15"/>
        <v>0</v>
      </c>
      <c r="X158">
        <f t="shared" si="16"/>
        <v>0</v>
      </c>
      <c r="Y158">
        <f t="shared" si="17"/>
        <v>0</v>
      </c>
    </row>
    <row r="159" spans="1:25" hidden="1" x14ac:dyDescent="0.35">
      <c r="A159">
        <v>157</v>
      </c>
      <c r="C159" t="s">
        <v>325</v>
      </c>
      <c r="D159" t="s">
        <v>326</v>
      </c>
      <c r="E159" s="1">
        <v>37013</v>
      </c>
      <c r="F159" t="s">
        <v>24</v>
      </c>
      <c r="G159">
        <v>35798</v>
      </c>
      <c r="H159">
        <v>-485.30028397928498</v>
      </c>
      <c r="I159">
        <v>-5.3717404869612304</v>
      </c>
      <c r="J159">
        <v>4.8530028397928504</v>
      </c>
      <c r="K159">
        <v>-4.92</v>
      </c>
      <c r="L159">
        <v>-486.87266889318801</v>
      </c>
      <c r="M159">
        <v>406.45351291135103</v>
      </c>
      <c r="N159">
        <v>5.6328565823495396</v>
      </c>
      <c r="O159">
        <v>1055.793451413</v>
      </c>
      <c r="P159">
        <v>11.559910082583301</v>
      </c>
      <c r="Q159">
        <v>1.1924750921419001</v>
      </c>
      <c r="R159">
        <v>-249.02037000000001</v>
      </c>
      <c r="S159">
        <v>-61.1</v>
      </c>
      <c r="T159">
        <f t="shared" si="12"/>
        <v>0</v>
      </c>
      <c r="U159">
        <f t="shared" si="13"/>
        <v>0</v>
      </c>
      <c r="V159">
        <f t="shared" si="14"/>
        <v>0</v>
      </c>
      <c r="W159">
        <f t="shared" si="15"/>
        <v>0</v>
      </c>
      <c r="X159">
        <f t="shared" si="16"/>
        <v>0</v>
      </c>
      <c r="Y159">
        <f t="shared" si="17"/>
        <v>0</v>
      </c>
    </row>
    <row r="160" spans="1:25" hidden="1" x14ac:dyDescent="0.35">
      <c r="A160">
        <v>158</v>
      </c>
      <c r="C160" t="s">
        <v>327</v>
      </c>
      <c r="D160" t="s">
        <v>328</v>
      </c>
      <c r="E160" s="1">
        <v>36421</v>
      </c>
      <c r="F160" t="s">
        <v>21</v>
      </c>
      <c r="G160">
        <v>21954</v>
      </c>
      <c r="I160">
        <v>7.4729574595586996</v>
      </c>
      <c r="J160">
        <v>-7.74118120018806</v>
      </c>
      <c r="K160">
        <v>4.0609999999999999</v>
      </c>
      <c r="L160">
        <v>-124.64363084697101</v>
      </c>
      <c r="M160">
        <v>370.91742006814798</v>
      </c>
      <c r="N160">
        <v>5.4168762182255099</v>
      </c>
      <c r="O160">
        <v>1012.59282245177</v>
      </c>
      <c r="P160">
        <v>3.2430489211392701</v>
      </c>
      <c r="Q160">
        <v>-1.7089898016582099</v>
      </c>
      <c r="R160">
        <v>-244.24760000000001</v>
      </c>
      <c r="S160">
        <v>53.59</v>
      </c>
      <c r="T160">
        <f t="shared" si="12"/>
        <v>0</v>
      </c>
      <c r="U160">
        <f t="shared" si="13"/>
        <v>0</v>
      </c>
      <c r="V160">
        <f t="shared" si="14"/>
        <v>0</v>
      </c>
      <c r="W160">
        <f t="shared" si="15"/>
        <v>0</v>
      </c>
      <c r="X160">
        <f t="shared" si="16"/>
        <v>0</v>
      </c>
      <c r="Y160">
        <f t="shared" si="17"/>
        <v>0</v>
      </c>
    </row>
    <row r="161" spans="1:26" x14ac:dyDescent="0.35">
      <c r="A161">
        <v>159</v>
      </c>
      <c r="C161" t="s">
        <v>329</v>
      </c>
      <c r="D161" t="s">
        <v>330</v>
      </c>
      <c r="E161" s="1">
        <v>37079</v>
      </c>
      <c r="F161" t="s">
        <v>21</v>
      </c>
      <c r="G161">
        <v>41043</v>
      </c>
      <c r="H161">
        <v>-547.13701018312599</v>
      </c>
      <c r="J161">
        <v>5.4713701018312602</v>
      </c>
      <c r="K161">
        <v>5.0960000000000001</v>
      </c>
      <c r="L161">
        <v>526.412303968115</v>
      </c>
      <c r="M161">
        <v>575.22828274282404</v>
      </c>
      <c r="N161">
        <v>6.2105255304473896</v>
      </c>
      <c r="O161">
        <v>1055.4063388131799</v>
      </c>
      <c r="P161">
        <v>6.4016810990920696</v>
      </c>
      <c r="Q161">
        <v>-0.34823851188523702</v>
      </c>
      <c r="R161">
        <v>-227.32220000000001</v>
      </c>
      <c r="S161">
        <v>0.35</v>
      </c>
      <c r="T161">
        <f t="shared" si="12"/>
        <v>1</v>
      </c>
      <c r="U161">
        <f t="shared" si="13"/>
        <v>0</v>
      </c>
      <c r="V161">
        <f t="shared" si="14"/>
        <v>0</v>
      </c>
      <c r="W161">
        <f t="shared" si="15"/>
        <v>0</v>
      </c>
      <c r="X161">
        <f t="shared" si="16"/>
        <v>0</v>
      </c>
      <c r="Y161">
        <f t="shared" si="17"/>
        <v>1</v>
      </c>
      <c r="Z161">
        <f>SUM(T161:X161)</f>
        <v>1</v>
      </c>
    </row>
    <row r="162" spans="1:26" hidden="1" x14ac:dyDescent="0.35">
      <c r="A162">
        <v>160</v>
      </c>
      <c r="C162" t="s">
        <v>331</v>
      </c>
      <c r="D162" t="s">
        <v>332</v>
      </c>
      <c r="E162" s="1">
        <v>36033</v>
      </c>
      <c r="F162" t="s">
        <v>24</v>
      </c>
      <c r="G162">
        <v>15477</v>
      </c>
      <c r="H162">
        <v>-802.72517977109203</v>
      </c>
      <c r="I162">
        <v>4.1000653195164496</v>
      </c>
      <c r="J162">
        <v>8.0272517977109192</v>
      </c>
      <c r="K162">
        <v>1.984</v>
      </c>
      <c r="L162">
        <v>739.405334289493</v>
      </c>
      <c r="M162">
        <v>575.40554550254603</v>
      </c>
      <c r="N162">
        <v>6.9175239153627697</v>
      </c>
      <c r="O162">
        <v>1099.96607261895</v>
      </c>
      <c r="P162">
        <v>12.683524541370099</v>
      </c>
      <c r="Q162">
        <v>-1.0162351449545299</v>
      </c>
      <c r="R162">
        <v>-227.53935000000001</v>
      </c>
      <c r="S162">
        <v>-40.630000000000003</v>
      </c>
      <c r="T162">
        <f t="shared" si="12"/>
        <v>0</v>
      </c>
      <c r="U162">
        <f t="shared" si="13"/>
        <v>0</v>
      </c>
      <c r="V162">
        <f t="shared" si="14"/>
        <v>0</v>
      </c>
      <c r="W162">
        <f t="shared" si="15"/>
        <v>0</v>
      </c>
      <c r="X162">
        <f t="shared" si="16"/>
        <v>0</v>
      </c>
      <c r="Y162">
        <f t="shared" si="17"/>
        <v>0</v>
      </c>
    </row>
    <row r="163" spans="1:26" hidden="1" x14ac:dyDescent="0.35">
      <c r="A163">
        <v>161</v>
      </c>
      <c r="C163" t="s">
        <v>333</v>
      </c>
      <c r="D163" t="s">
        <v>334</v>
      </c>
      <c r="E163" s="1">
        <v>37016</v>
      </c>
      <c r="F163" t="s">
        <v>21</v>
      </c>
      <c r="G163">
        <v>45214</v>
      </c>
      <c r="H163">
        <v>559.55251438767596</v>
      </c>
      <c r="I163">
        <v>3.0976560882499502</v>
      </c>
      <c r="J163">
        <v>-5.5955251438767597</v>
      </c>
      <c r="K163">
        <v>3.5230000000000001</v>
      </c>
      <c r="L163">
        <v>-872.92476531728903</v>
      </c>
      <c r="M163">
        <v>445.05755909257903</v>
      </c>
      <c r="N163">
        <v>3.86231877307412</v>
      </c>
      <c r="O163">
        <v>1077.3947317828899</v>
      </c>
      <c r="P163">
        <v>10.6491358361944</v>
      </c>
      <c r="Q163">
        <v>0.141178681864812</v>
      </c>
      <c r="R163">
        <v>-247.06216000000001</v>
      </c>
      <c r="S163">
        <v>30.77</v>
      </c>
      <c r="T163">
        <f t="shared" si="12"/>
        <v>0</v>
      </c>
      <c r="U163">
        <f t="shared" si="13"/>
        <v>0</v>
      </c>
      <c r="V163">
        <f t="shared" si="14"/>
        <v>0</v>
      </c>
      <c r="W163">
        <f t="shared" si="15"/>
        <v>0</v>
      </c>
      <c r="X163">
        <f t="shared" si="16"/>
        <v>0</v>
      </c>
      <c r="Y163">
        <f t="shared" si="17"/>
        <v>0</v>
      </c>
    </row>
    <row r="164" spans="1:26" hidden="1" x14ac:dyDescent="0.35">
      <c r="A164">
        <v>162</v>
      </c>
      <c r="C164" t="s">
        <v>335</v>
      </c>
      <c r="D164" t="s">
        <v>336</v>
      </c>
      <c r="E164" s="1">
        <v>36068</v>
      </c>
      <c r="F164" t="s">
        <v>24</v>
      </c>
      <c r="G164">
        <v>56217</v>
      </c>
      <c r="H164">
        <v>503.645034758767</v>
      </c>
      <c r="I164">
        <v>5.7781417678799603</v>
      </c>
      <c r="J164">
        <v>-5.0364503475876701</v>
      </c>
      <c r="K164">
        <v>6.734</v>
      </c>
      <c r="L164">
        <v>-485.58380909532201</v>
      </c>
      <c r="M164">
        <v>365.720591169437</v>
      </c>
      <c r="N164">
        <v>5.3312197720769499</v>
      </c>
      <c r="O164">
        <v>1051.75837629127</v>
      </c>
      <c r="P164">
        <v>2.2953204727171701</v>
      </c>
      <c r="Q164">
        <v>0.80747821096918704</v>
      </c>
      <c r="R164">
        <v>-243.19253</v>
      </c>
      <c r="S164">
        <v>-39.5</v>
      </c>
      <c r="T164">
        <f t="shared" si="12"/>
        <v>0</v>
      </c>
      <c r="U164">
        <f t="shared" si="13"/>
        <v>0</v>
      </c>
      <c r="V164">
        <f t="shared" si="14"/>
        <v>0</v>
      </c>
      <c r="W164">
        <f t="shared" si="15"/>
        <v>0</v>
      </c>
      <c r="X164">
        <f t="shared" si="16"/>
        <v>0</v>
      </c>
      <c r="Y164">
        <f t="shared" si="17"/>
        <v>0</v>
      </c>
    </row>
    <row r="165" spans="1:26" hidden="1" x14ac:dyDescent="0.35">
      <c r="A165">
        <v>163</v>
      </c>
      <c r="C165" t="s">
        <v>337</v>
      </c>
      <c r="D165" t="s">
        <v>338</v>
      </c>
      <c r="E165" s="1">
        <v>36765</v>
      </c>
      <c r="F165" t="s">
        <v>21</v>
      </c>
      <c r="G165">
        <v>65980</v>
      </c>
      <c r="H165">
        <v>434.86055013246198</v>
      </c>
      <c r="I165">
        <v>1.7576005288618901</v>
      </c>
      <c r="J165">
        <v>-4.3486055013246201</v>
      </c>
      <c r="K165">
        <v>8.2889999999999997</v>
      </c>
      <c r="L165">
        <v>-559.23793544884199</v>
      </c>
      <c r="M165">
        <v>377.29655147164999</v>
      </c>
      <c r="N165">
        <v>8.2661097673164097</v>
      </c>
      <c r="O165">
        <v>1068.1303324420501</v>
      </c>
      <c r="P165">
        <v>5.4648113278153199</v>
      </c>
      <c r="Q165">
        <v>-0.56435774009207995</v>
      </c>
      <c r="R165">
        <v>-243.13059000000001</v>
      </c>
      <c r="S165">
        <v>-120.87</v>
      </c>
      <c r="T165">
        <f t="shared" si="12"/>
        <v>0</v>
      </c>
      <c r="U165">
        <f t="shared" si="13"/>
        <v>0</v>
      </c>
      <c r="V165">
        <f t="shared" si="14"/>
        <v>0</v>
      </c>
      <c r="W165">
        <f t="shared" si="15"/>
        <v>0</v>
      </c>
      <c r="X165">
        <f t="shared" si="16"/>
        <v>0</v>
      </c>
      <c r="Y165">
        <f t="shared" si="17"/>
        <v>0</v>
      </c>
    </row>
    <row r="166" spans="1:26" hidden="1" x14ac:dyDescent="0.35">
      <c r="A166">
        <v>164</v>
      </c>
      <c r="C166" t="s">
        <v>339</v>
      </c>
      <c r="D166" t="s">
        <v>340</v>
      </c>
      <c r="E166" s="1">
        <v>35657</v>
      </c>
      <c r="F166" t="s">
        <v>21</v>
      </c>
      <c r="G166">
        <v>59848</v>
      </c>
      <c r="H166">
        <v>-600.90858167673002</v>
      </c>
      <c r="I166">
        <v>4.1976462274595896</v>
      </c>
      <c r="J166">
        <v>6.0090858167672998</v>
      </c>
      <c r="K166">
        <v>4.8099999999999996</v>
      </c>
      <c r="L166">
        <v>657.70324145827101</v>
      </c>
      <c r="M166">
        <v>619.70401095375303</v>
      </c>
      <c r="N166">
        <v>3.6040831331111298</v>
      </c>
      <c r="O166">
        <v>1050.26939118222</v>
      </c>
      <c r="P166">
        <v>5.6524326331773498</v>
      </c>
      <c r="Q166">
        <v>0.98530985792352499</v>
      </c>
      <c r="R166">
        <v>-231.05232000000001</v>
      </c>
      <c r="S166">
        <v>-12.86</v>
      </c>
      <c r="T166">
        <f t="shared" si="12"/>
        <v>0</v>
      </c>
      <c r="U166">
        <f t="shared" si="13"/>
        <v>0</v>
      </c>
      <c r="V166">
        <f t="shared" si="14"/>
        <v>0</v>
      </c>
      <c r="W166">
        <f t="shared" si="15"/>
        <v>0</v>
      </c>
      <c r="X166">
        <f t="shared" si="16"/>
        <v>0</v>
      </c>
      <c r="Y166">
        <f t="shared" si="17"/>
        <v>0</v>
      </c>
    </row>
    <row r="167" spans="1:26" hidden="1" x14ac:dyDescent="0.35">
      <c r="A167">
        <v>165</v>
      </c>
      <c r="C167" t="s">
        <v>341</v>
      </c>
      <c r="D167" t="s">
        <v>342</v>
      </c>
      <c r="E167" s="1">
        <v>35900</v>
      </c>
      <c r="F167" t="s">
        <v>21</v>
      </c>
      <c r="G167">
        <v>56953</v>
      </c>
      <c r="H167">
        <v>-477.73899622952302</v>
      </c>
      <c r="I167">
        <v>-6.4134184493262598</v>
      </c>
      <c r="J167">
        <v>4.7773899622952296</v>
      </c>
      <c r="K167">
        <v>-6.9160000000000004</v>
      </c>
      <c r="L167">
        <v>-700.35803915641702</v>
      </c>
      <c r="M167">
        <v>341.14842872785403</v>
      </c>
      <c r="N167">
        <v>3.97603946665199</v>
      </c>
      <c r="O167">
        <v>1093.96303973976</v>
      </c>
      <c r="P167">
        <v>10.540106613457899</v>
      </c>
      <c r="Q167">
        <v>0.48081703349086902</v>
      </c>
      <c r="R167">
        <v>-253.81838999999999</v>
      </c>
      <c r="S167">
        <v>-117.11</v>
      </c>
      <c r="T167">
        <f t="shared" si="12"/>
        <v>0</v>
      </c>
      <c r="U167">
        <f t="shared" si="13"/>
        <v>0</v>
      </c>
      <c r="V167">
        <f t="shared" si="14"/>
        <v>0</v>
      </c>
      <c r="W167">
        <f t="shared" si="15"/>
        <v>0</v>
      </c>
      <c r="X167">
        <f t="shared" si="16"/>
        <v>0</v>
      </c>
      <c r="Y167">
        <f t="shared" si="17"/>
        <v>0</v>
      </c>
    </row>
    <row r="168" spans="1:26" hidden="1" x14ac:dyDescent="0.35">
      <c r="A168">
        <v>166</v>
      </c>
      <c r="C168" t="s">
        <v>343</v>
      </c>
      <c r="D168" t="s">
        <v>344</v>
      </c>
      <c r="E168" s="1">
        <v>36981</v>
      </c>
      <c r="F168" t="s">
        <v>24</v>
      </c>
      <c r="G168">
        <v>32456</v>
      </c>
      <c r="H168">
        <v>625.49446319146796</v>
      </c>
      <c r="I168">
        <v>5.4559572171128599</v>
      </c>
      <c r="J168">
        <v>-6.2549446319146798</v>
      </c>
      <c r="K168">
        <v>5.7210000000000001</v>
      </c>
      <c r="L168">
        <v>-500.103833091696</v>
      </c>
      <c r="M168">
        <v>404.23094180636701</v>
      </c>
      <c r="N168">
        <v>6.52634201693441</v>
      </c>
      <c r="O168">
        <v>1044.5046872488199</v>
      </c>
      <c r="P168">
        <v>6.9827066813938696</v>
      </c>
      <c r="Q168">
        <v>1.34597348129072</v>
      </c>
      <c r="R168">
        <v>-243.04548</v>
      </c>
      <c r="S168">
        <v>13.61</v>
      </c>
      <c r="T168">
        <f t="shared" si="12"/>
        <v>0</v>
      </c>
      <c r="U168">
        <f t="shared" si="13"/>
        <v>0</v>
      </c>
      <c r="V168">
        <f t="shared" si="14"/>
        <v>0</v>
      </c>
      <c r="W168">
        <f t="shared" si="15"/>
        <v>0</v>
      </c>
      <c r="X168">
        <f t="shared" si="16"/>
        <v>0</v>
      </c>
      <c r="Y168">
        <f t="shared" si="17"/>
        <v>0</v>
      </c>
    </row>
    <row r="169" spans="1:26" x14ac:dyDescent="0.35">
      <c r="A169">
        <v>167</v>
      </c>
      <c r="C169" t="s">
        <v>345</v>
      </c>
      <c r="D169" t="s">
        <v>346</v>
      </c>
      <c r="E169" s="1">
        <v>36358</v>
      </c>
      <c r="F169" t="s">
        <v>21</v>
      </c>
      <c r="G169">
        <v>62390</v>
      </c>
      <c r="H169">
        <v>397.18870106144902</v>
      </c>
      <c r="J169">
        <v>-3.9718870106144899</v>
      </c>
      <c r="K169">
        <v>4.0129999999999999</v>
      </c>
      <c r="L169">
        <v>-291.196510152423</v>
      </c>
      <c r="M169">
        <v>384.03286423295702</v>
      </c>
      <c r="N169">
        <v>4.4548226453466304</v>
      </c>
      <c r="O169">
        <v>1034.68666908514</v>
      </c>
      <c r="P169">
        <v>1.2053392445812701</v>
      </c>
      <c r="Q169">
        <v>0.22828872599786401</v>
      </c>
      <c r="R169">
        <v>-244.03618</v>
      </c>
      <c r="S169">
        <v>-13.66</v>
      </c>
      <c r="T169">
        <f t="shared" si="12"/>
        <v>1</v>
      </c>
      <c r="U169">
        <f t="shared" si="13"/>
        <v>0</v>
      </c>
      <c r="V169">
        <f t="shared" si="14"/>
        <v>0</v>
      </c>
      <c r="W169">
        <f t="shared" si="15"/>
        <v>0</v>
      </c>
      <c r="X169">
        <f t="shared" si="16"/>
        <v>0</v>
      </c>
      <c r="Y169">
        <f t="shared" si="17"/>
        <v>1</v>
      </c>
      <c r="Z169">
        <f>SUM(T169:X169)</f>
        <v>1</v>
      </c>
    </row>
    <row r="170" spans="1:26" hidden="1" x14ac:dyDescent="0.35">
      <c r="A170">
        <v>168</v>
      </c>
      <c r="C170" t="s">
        <v>347</v>
      </c>
      <c r="D170" t="s">
        <v>348</v>
      </c>
      <c r="E170" s="1">
        <v>35627</v>
      </c>
      <c r="F170" t="s">
        <v>21</v>
      </c>
      <c r="G170">
        <v>53445</v>
      </c>
      <c r="H170">
        <v>484.39915745296901</v>
      </c>
      <c r="I170">
        <v>4.2030171309551196</v>
      </c>
      <c r="J170">
        <v>-4.8439915745296904</v>
      </c>
      <c r="K170">
        <v>5.1719999999999997</v>
      </c>
      <c r="L170">
        <v>-639.47461943267501</v>
      </c>
      <c r="M170">
        <v>414.70759382028501</v>
      </c>
      <c r="N170">
        <v>1.14271901161766</v>
      </c>
      <c r="O170">
        <v>1064.3357222054999</v>
      </c>
      <c r="P170">
        <v>3.9652572578479601</v>
      </c>
      <c r="Q170">
        <v>-0.134244563767563</v>
      </c>
      <c r="R170">
        <v>-245.99286000000001</v>
      </c>
      <c r="S170">
        <v>24.72</v>
      </c>
      <c r="T170">
        <f t="shared" si="12"/>
        <v>0</v>
      </c>
      <c r="U170">
        <f t="shared" si="13"/>
        <v>0</v>
      </c>
      <c r="V170">
        <f t="shared" si="14"/>
        <v>0</v>
      </c>
      <c r="W170">
        <f t="shared" si="15"/>
        <v>0</v>
      </c>
      <c r="X170">
        <f t="shared" si="16"/>
        <v>0</v>
      </c>
      <c r="Y170">
        <f t="shared" si="17"/>
        <v>0</v>
      </c>
    </row>
    <row r="171" spans="1:26" hidden="1" x14ac:dyDescent="0.35">
      <c r="A171">
        <v>169</v>
      </c>
      <c r="C171" t="s">
        <v>349</v>
      </c>
      <c r="D171" t="s">
        <v>350</v>
      </c>
      <c r="E171" s="1">
        <v>37139</v>
      </c>
      <c r="F171" t="s">
        <v>24</v>
      </c>
      <c r="G171">
        <v>44524</v>
      </c>
      <c r="H171">
        <v>579.60544997021498</v>
      </c>
      <c r="I171">
        <v>3.35770625083499</v>
      </c>
      <c r="J171">
        <v>-5.7960544997021497</v>
      </c>
      <c r="K171">
        <v>6.0529999999999999</v>
      </c>
      <c r="L171">
        <v>-772.40047647747701</v>
      </c>
      <c r="M171">
        <v>383.07753401935702</v>
      </c>
      <c r="N171">
        <v>6.2426860977270602</v>
      </c>
      <c r="O171">
        <v>1073.6352830722101</v>
      </c>
      <c r="P171">
        <v>7.9122577319651803</v>
      </c>
      <c r="Q171">
        <v>-0.35060328539585001</v>
      </c>
      <c r="R171">
        <v>-244.91981000000001</v>
      </c>
      <c r="S171">
        <v>-33.869999999999997</v>
      </c>
      <c r="T171">
        <f t="shared" si="12"/>
        <v>0</v>
      </c>
      <c r="U171">
        <f t="shared" si="13"/>
        <v>0</v>
      </c>
      <c r="V171">
        <f t="shared" si="14"/>
        <v>0</v>
      </c>
      <c r="W171">
        <f t="shared" si="15"/>
        <v>0</v>
      </c>
      <c r="X171">
        <f t="shared" si="16"/>
        <v>0</v>
      </c>
      <c r="Y171">
        <f t="shared" si="17"/>
        <v>0</v>
      </c>
    </row>
    <row r="172" spans="1:26" hidden="1" x14ac:dyDescent="0.35">
      <c r="A172">
        <v>170</v>
      </c>
      <c r="C172" t="s">
        <v>183</v>
      </c>
      <c r="D172" t="s">
        <v>93</v>
      </c>
      <c r="E172" s="1">
        <v>36399</v>
      </c>
      <c r="F172" t="s">
        <v>24</v>
      </c>
      <c r="G172">
        <v>55663</v>
      </c>
      <c r="H172">
        <v>576.63028289806402</v>
      </c>
      <c r="I172">
        <v>-5.4790305007472098</v>
      </c>
      <c r="J172">
        <v>-5.7663028289806402</v>
      </c>
      <c r="K172">
        <v>5.0679999999999996</v>
      </c>
      <c r="L172">
        <v>-473.90598468144799</v>
      </c>
      <c r="M172">
        <v>571.89994878438699</v>
      </c>
      <c r="N172">
        <v>-5.4227149224107096</v>
      </c>
      <c r="O172">
        <v>919.55547016232094</v>
      </c>
      <c r="P172">
        <v>-0.58925722773941902</v>
      </c>
      <c r="Q172">
        <v>0.41098622498953402</v>
      </c>
      <c r="R172">
        <v>-255.11295000000001</v>
      </c>
      <c r="S172">
        <v>192.23</v>
      </c>
      <c r="T172">
        <f t="shared" si="12"/>
        <v>0</v>
      </c>
      <c r="U172">
        <f t="shared" si="13"/>
        <v>0</v>
      </c>
      <c r="V172">
        <f t="shared" si="14"/>
        <v>0</v>
      </c>
      <c r="W172">
        <f t="shared" si="15"/>
        <v>0</v>
      </c>
      <c r="X172">
        <f t="shared" si="16"/>
        <v>0</v>
      </c>
      <c r="Y172">
        <f t="shared" si="17"/>
        <v>0</v>
      </c>
    </row>
    <row r="173" spans="1:26" hidden="1" x14ac:dyDescent="0.35">
      <c r="A173">
        <v>171</v>
      </c>
      <c r="C173" t="s">
        <v>351</v>
      </c>
      <c r="D173" t="s">
        <v>352</v>
      </c>
      <c r="E173" s="1">
        <v>36257</v>
      </c>
      <c r="F173" t="s">
        <v>24</v>
      </c>
      <c r="G173">
        <v>60182</v>
      </c>
      <c r="H173">
        <v>247.71014282577201</v>
      </c>
      <c r="I173">
        <v>2.30270502979416</v>
      </c>
      <c r="J173">
        <v>-2.4771014282577202</v>
      </c>
      <c r="K173">
        <v>7.1789999999999896</v>
      </c>
      <c r="L173">
        <v>-505.11980335336</v>
      </c>
      <c r="M173">
        <v>473.31969715710699</v>
      </c>
      <c r="N173">
        <v>5.7958946521482497</v>
      </c>
      <c r="O173">
        <v>1049.82796529948</v>
      </c>
      <c r="P173">
        <v>6.6662180324230702</v>
      </c>
      <c r="Q173">
        <v>1.3583699794720101</v>
      </c>
      <c r="R173">
        <v>-241.49064000000001</v>
      </c>
      <c r="S173">
        <v>-32.11</v>
      </c>
      <c r="T173">
        <f t="shared" si="12"/>
        <v>0</v>
      </c>
      <c r="U173">
        <f t="shared" si="13"/>
        <v>0</v>
      </c>
      <c r="V173">
        <f t="shared" si="14"/>
        <v>0</v>
      </c>
      <c r="W173">
        <f t="shared" si="15"/>
        <v>0</v>
      </c>
      <c r="X173">
        <f t="shared" si="16"/>
        <v>0</v>
      </c>
      <c r="Y173">
        <f t="shared" si="17"/>
        <v>0</v>
      </c>
    </row>
    <row r="174" spans="1:26" hidden="1" x14ac:dyDescent="0.35">
      <c r="A174">
        <v>172</v>
      </c>
      <c r="C174" t="s">
        <v>353</v>
      </c>
      <c r="D174" t="s">
        <v>354</v>
      </c>
      <c r="E174" s="1">
        <v>35735</v>
      </c>
      <c r="F174" t="s">
        <v>21</v>
      </c>
      <c r="G174">
        <v>75292</v>
      </c>
      <c r="H174">
        <v>359.57220995743199</v>
      </c>
      <c r="I174">
        <v>3.4941886215292999</v>
      </c>
      <c r="J174">
        <v>-3.5957220995743202</v>
      </c>
      <c r="K174">
        <v>6.28</v>
      </c>
      <c r="L174">
        <v>-766.83755684972596</v>
      </c>
      <c r="M174">
        <v>413.89030769469002</v>
      </c>
      <c r="N174">
        <v>2.6525245586994401</v>
      </c>
      <c r="O174">
        <v>1078.7208999270199</v>
      </c>
      <c r="P174">
        <v>4.0025067495508502</v>
      </c>
      <c r="Q174">
        <v>0.232649337060998</v>
      </c>
      <c r="R174">
        <v>-245.30252999999999</v>
      </c>
      <c r="S174">
        <v>-39.340000000000003</v>
      </c>
      <c r="T174">
        <f t="shared" si="12"/>
        <v>0</v>
      </c>
      <c r="U174">
        <f t="shared" si="13"/>
        <v>0</v>
      </c>
      <c r="V174">
        <f t="shared" si="14"/>
        <v>0</v>
      </c>
      <c r="W174">
        <f t="shared" si="15"/>
        <v>0</v>
      </c>
      <c r="X174">
        <f t="shared" si="16"/>
        <v>0</v>
      </c>
      <c r="Y174">
        <f t="shared" si="17"/>
        <v>0</v>
      </c>
    </row>
    <row r="175" spans="1:26" hidden="1" x14ac:dyDescent="0.35">
      <c r="A175">
        <v>173</v>
      </c>
      <c r="C175" t="s">
        <v>355</v>
      </c>
      <c r="D175" t="s">
        <v>356</v>
      </c>
      <c r="E175" s="1">
        <v>35856</v>
      </c>
      <c r="F175" t="s">
        <v>24</v>
      </c>
      <c r="H175">
        <v>-568.94403088276795</v>
      </c>
      <c r="I175">
        <v>-5.4724312378852797</v>
      </c>
      <c r="J175">
        <v>5.6894403088276801</v>
      </c>
      <c r="K175">
        <v>-5.1040000000000001</v>
      </c>
      <c r="L175">
        <v>-471.933975336206</v>
      </c>
      <c r="M175">
        <v>377.331577838192</v>
      </c>
      <c r="N175">
        <v>5.2920944346921903</v>
      </c>
      <c r="O175">
        <v>1048.1966075989401</v>
      </c>
      <c r="P175">
        <v>8.1150841973003995</v>
      </c>
      <c r="Q175">
        <v>1.8869042153173301</v>
      </c>
      <c r="R175">
        <v>-250.26994999999999</v>
      </c>
      <c r="S175">
        <v>-97.87</v>
      </c>
      <c r="T175">
        <f t="shared" si="12"/>
        <v>0</v>
      </c>
      <c r="U175">
        <f t="shared" si="13"/>
        <v>0</v>
      </c>
      <c r="V175">
        <f t="shared" si="14"/>
        <v>0</v>
      </c>
      <c r="W175">
        <f t="shared" si="15"/>
        <v>0</v>
      </c>
      <c r="X175">
        <f t="shared" si="16"/>
        <v>0</v>
      </c>
      <c r="Y175">
        <f t="shared" si="17"/>
        <v>0</v>
      </c>
    </row>
    <row r="176" spans="1:26" hidden="1" x14ac:dyDescent="0.35">
      <c r="A176">
        <v>174</v>
      </c>
      <c r="C176" t="s">
        <v>357</v>
      </c>
      <c r="D176" t="s">
        <v>358</v>
      </c>
      <c r="E176" s="1">
        <v>35396</v>
      </c>
      <c r="F176" t="s">
        <v>21</v>
      </c>
      <c r="G176">
        <v>73866</v>
      </c>
      <c r="H176">
        <v>312.81783886752601</v>
      </c>
      <c r="I176">
        <v>4.2710429872984603</v>
      </c>
      <c r="J176">
        <v>-3.1281783886752601</v>
      </c>
      <c r="K176">
        <v>4.8090000000000002</v>
      </c>
      <c r="L176">
        <v>-405.27033747455698</v>
      </c>
      <c r="M176">
        <v>432.94344795734901</v>
      </c>
      <c r="N176">
        <v>5.0153561625822496</v>
      </c>
      <c r="O176">
        <v>1045.4147154664199</v>
      </c>
      <c r="P176">
        <v>3.8710082924300901</v>
      </c>
      <c r="R176">
        <v>-244.11590000000001</v>
      </c>
      <c r="S176">
        <v>-37.08</v>
      </c>
      <c r="T176">
        <f t="shared" si="12"/>
        <v>0</v>
      </c>
      <c r="U176">
        <f t="shared" si="13"/>
        <v>0</v>
      </c>
      <c r="V176">
        <f t="shared" si="14"/>
        <v>0</v>
      </c>
      <c r="W176">
        <f t="shared" si="15"/>
        <v>0</v>
      </c>
      <c r="X176">
        <f t="shared" si="16"/>
        <v>0</v>
      </c>
      <c r="Y176">
        <f t="shared" si="17"/>
        <v>0</v>
      </c>
    </row>
    <row r="177" spans="1:26" hidden="1" x14ac:dyDescent="0.35">
      <c r="A177">
        <v>175</v>
      </c>
      <c r="C177" t="s">
        <v>359</v>
      </c>
      <c r="D177" t="s">
        <v>360</v>
      </c>
      <c r="E177" s="1">
        <v>36003</v>
      </c>
      <c r="F177" t="s">
        <v>24</v>
      </c>
      <c r="G177">
        <v>62602</v>
      </c>
      <c r="H177">
        <v>373.59829271501502</v>
      </c>
      <c r="I177">
        <v>-6.9817181005810998</v>
      </c>
      <c r="J177">
        <v>-3.7359829271501499</v>
      </c>
      <c r="K177">
        <v>3.09</v>
      </c>
      <c r="L177">
        <v>-283.12343401283402</v>
      </c>
      <c r="M177">
        <v>589.24755658722495</v>
      </c>
      <c r="N177">
        <v>-5.5039183191455301</v>
      </c>
      <c r="O177">
        <v>927.32603490742804</v>
      </c>
      <c r="P177">
        <v>0.26545572760587</v>
      </c>
      <c r="Q177">
        <v>1.5250403432356701</v>
      </c>
      <c r="R177">
        <v>-255.47823</v>
      </c>
      <c r="S177">
        <v>167.38</v>
      </c>
      <c r="T177">
        <f t="shared" si="12"/>
        <v>0</v>
      </c>
      <c r="U177">
        <f t="shared" si="13"/>
        <v>0</v>
      </c>
      <c r="V177">
        <f t="shared" si="14"/>
        <v>0</v>
      </c>
      <c r="W177">
        <f t="shared" si="15"/>
        <v>0</v>
      </c>
      <c r="X177">
        <f t="shared" si="16"/>
        <v>0</v>
      </c>
      <c r="Y177">
        <f t="shared" si="17"/>
        <v>0</v>
      </c>
    </row>
    <row r="178" spans="1:26" x14ac:dyDescent="0.35">
      <c r="A178">
        <v>176</v>
      </c>
      <c r="C178" t="s">
        <v>203</v>
      </c>
      <c r="D178" t="s">
        <v>361</v>
      </c>
      <c r="E178" s="1">
        <v>36079</v>
      </c>
      <c r="F178" t="s">
        <v>24</v>
      </c>
      <c r="G178">
        <v>66972</v>
      </c>
      <c r="H178">
        <v>541.17543504276898</v>
      </c>
      <c r="J178">
        <v>-5.4117543504276897</v>
      </c>
      <c r="K178">
        <v>5.4470000000000001</v>
      </c>
      <c r="L178">
        <v>-512.72035210841</v>
      </c>
      <c r="M178">
        <v>644.83926035531294</v>
      </c>
      <c r="N178">
        <v>-6.9663802974335898</v>
      </c>
      <c r="P178">
        <v>1.2126371810257099</v>
      </c>
      <c r="Q178">
        <v>-1.6372194447860799</v>
      </c>
      <c r="R178">
        <v>-252.93476999999999</v>
      </c>
      <c r="S178">
        <v>225.98</v>
      </c>
      <c r="T178">
        <f t="shared" si="12"/>
        <v>1</v>
      </c>
      <c r="U178">
        <f t="shared" si="13"/>
        <v>0</v>
      </c>
      <c r="V178">
        <f t="shared" si="14"/>
        <v>0</v>
      </c>
      <c r="W178">
        <f t="shared" si="15"/>
        <v>0</v>
      </c>
      <c r="X178">
        <f t="shared" si="16"/>
        <v>0</v>
      </c>
      <c r="Y178">
        <f t="shared" si="17"/>
        <v>1</v>
      </c>
      <c r="Z178">
        <f>SUM(T178:X178)</f>
        <v>1</v>
      </c>
    </row>
    <row r="179" spans="1:26" hidden="1" x14ac:dyDescent="0.35">
      <c r="A179">
        <v>177</v>
      </c>
      <c r="C179" t="s">
        <v>362</v>
      </c>
      <c r="D179" t="s">
        <v>363</v>
      </c>
      <c r="E179" s="1">
        <v>36160</v>
      </c>
      <c r="F179" t="s">
        <v>24</v>
      </c>
      <c r="G179">
        <v>61219</v>
      </c>
      <c r="H179">
        <v>382.06437074966999</v>
      </c>
      <c r="I179">
        <v>8.2285818441906606</v>
      </c>
      <c r="J179">
        <v>-3.8206437074966999</v>
      </c>
      <c r="K179">
        <v>2.2229999999999999</v>
      </c>
      <c r="L179">
        <v>-364.63605824626302</v>
      </c>
      <c r="M179">
        <v>447.26695052095403</v>
      </c>
      <c r="N179">
        <v>2.3221216480967</v>
      </c>
      <c r="O179">
        <v>1026.8491774579099</v>
      </c>
      <c r="P179">
        <v>2.68504569635948</v>
      </c>
      <c r="Q179">
        <v>-1.6050726821850001</v>
      </c>
      <c r="R179">
        <v>-244.52793</v>
      </c>
      <c r="S179">
        <v>66.09</v>
      </c>
      <c r="T179">
        <f t="shared" si="12"/>
        <v>0</v>
      </c>
      <c r="U179">
        <f t="shared" si="13"/>
        <v>0</v>
      </c>
      <c r="V179">
        <f t="shared" si="14"/>
        <v>0</v>
      </c>
      <c r="W179">
        <f t="shared" si="15"/>
        <v>0</v>
      </c>
      <c r="X179">
        <f t="shared" si="16"/>
        <v>0</v>
      </c>
      <c r="Y179">
        <f t="shared" si="17"/>
        <v>0</v>
      </c>
    </row>
    <row r="180" spans="1:26" hidden="1" x14ac:dyDescent="0.35">
      <c r="A180">
        <v>178</v>
      </c>
      <c r="C180" t="s">
        <v>364</v>
      </c>
      <c r="D180" t="s">
        <v>365</v>
      </c>
      <c r="E180" s="1">
        <v>35725</v>
      </c>
      <c r="F180" t="s">
        <v>24</v>
      </c>
      <c r="G180">
        <v>58021</v>
      </c>
      <c r="H180">
        <v>436.004716615527</v>
      </c>
      <c r="I180">
        <v>3.6358991056739298</v>
      </c>
      <c r="J180">
        <v>-4.3600471661552698</v>
      </c>
      <c r="K180">
        <v>6.2479999999999896</v>
      </c>
      <c r="L180">
        <v>-778.18393909566998</v>
      </c>
      <c r="M180">
        <v>428.93665529609302</v>
      </c>
      <c r="N180">
        <v>6.6960502439020404</v>
      </c>
      <c r="O180">
        <v>1070.20471807852</v>
      </c>
      <c r="P180">
        <v>8.4214255740645907</v>
      </c>
      <c r="Q180">
        <v>0.14438505978583199</v>
      </c>
      <c r="R180">
        <v>-243.44107</v>
      </c>
      <c r="S180">
        <v>-37.54</v>
      </c>
      <c r="T180">
        <f t="shared" si="12"/>
        <v>0</v>
      </c>
      <c r="U180">
        <f t="shared" si="13"/>
        <v>0</v>
      </c>
      <c r="V180">
        <f t="shared" si="14"/>
        <v>0</v>
      </c>
      <c r="W180">
        <f t="shared" si="15"/>
        <v>0</v>
      </c>
      <c r="X180">
        <f t="shared" si="16"/>
        <v>0</v>
      </c>
      <c r="Y180">
        <f t="shared" si="17"/>
        <v>0</v>
      </c>
    </row>
    <row r="181" spans="1:26" hidden="1" x14ac:dyDescent="0.35">
      <c r="A181">
        <v>179</v>
      </c>
      <c r="C181" t="s">
        <v>366</v>
      </c>
      <c r="D181" t="s">
        <v>367</v>
      </c>
      <c r="E181" s="1">
        <v>36354</v>
      </c>
      <c r="F181" t="s">
        <v>21</v>
      </c>
      <c r="G181">
        <v>42755</v>
      </c>
      <c r="H181">
        <v>-504.85666115857401</v>
      </c>
      <c r="I181">
        <v>-7.7856144378712298</v>
      </c>
      <c r="J181">
        <v>5.0485666115857404</v>
      </c>
      <c r="K181">
        <v>-4.9930000000000003</v>
      </c>
      <c r="L181">
        <v>-500.785916821162</v>
      </c>
      <c r="M181">
        <v>388.80046845454802</v>
      </c>
      <c r="N181">
        <v>7.7164626362297701</v>
      </c>
      <c r="O181">
        <v>1056.1031517935701</v>
      </c>
      <c r="P181">
        <v>12.513923205899999</v>
      </c>
      <c r="Q181">
        <v>-1.7286454572940499</v>
      </c>
      <c r="R181">
        <v>-250.33297999999999</v>
      </c>
      <c r="S181">
        <v>-115.78</v>
      </c>
      <c r="T181">
        <f t="shared" si="12"/>
        <v>0</v>
      </c>
      <c r="U181">
        <f t="shared" si="13"/>
        <v>0</v>
      </c>
      <c r="V181">
        <f t="shared" si="14"/>
        <v>0</v>
      </c>
      <c r="W181">
        <f t="shared" si="15"/>
        <v>0</v>
      </c>
      <c r="X181">
        <f t="shared" si="16"/>
        <v>0</v>
      </c>
      <c r="Y181">
        <f t="shared" si="17"/>
        <v>0</v>
      </c>
    </row>
    <row r="182" spans="1:26" hidden="1" x14ac:dyDescent="0.35">
      <c r="A182">
        <v>180</v>
      </c>
      <c r="C182" t="s">
        <v>368</v>
      </c>
      <c r="D182" t="s">
        <v>369</v>
      </c>
      <c r="E182" s="1">
        <v>37070</v>
      </c>
      <c r="F182" t="s">
        <v>24</v>
      </c>
      <c r="G182">
        <v>67592</v>
      </c>
      <c r="H182">
        <v>-696.87419692271806</v>
      </c>
      <c r="I182">
        <v>-0.44329363423312002</v>
      </c>
      <c r="J182">
        <v>6.9687419692271799</v>
      </c>
      <c r="K182">
        <v>3.1469999999999998</v>
      </c>
      <c r="L182">
        <v>287.00311271579602</v>
      </c>
      <c r="M182">
        <v>621.39668233112002</v>
      </c>
      <c r="N182">
        <v>5.7130712053101904</v>
      </c>
      <c r="O182">
        <v>1030.3795227593</v>
      </c>
      <c r="P182">
        <v>8.4146806348667909</v>
      </c>
      <c r="Q182">
        <v>-0.70386424264675496</v>
      </c>
      <c r="R182">
        <v>-235.30407</v>
      </c>
      <c r="S182">
        <v>-38.58</v>
      </c>
      <c r="T182">
        <f t="shared" si="12"/>
        <v>0</v>
      </c>
      <c r="U182">
        <f t="shared" si="13"/>
        <v>0</v>
      </c>
      <c r="V182">
        <f t="shared" si="14"/>
        <v>0</v>
      </c>
      <c r="W182">
        <f t="shared" si="15"/>
        <v>0</v>
      </c>
      <c r="X182">
        <f t="shared" si="16"/>
        <v>0</v>
      </c>
      <c r="Y182">
        <f t="shared" si="17"/>
        <v>0</v>
      </c>
    </row>
    <row r="183" spans="1:26" hidden="1" x14ac:dyDescent="0.35">
      <c r="A183">
        <v>181</v>
      </c>
      <c r="C183" t="s">
        <v>370</v>
      </c>
      <c r="D183" t="s">
        <v>371</v>
      </c>
      <c r="E183" s="1">
        <v>36950</v>
      </c>
      <c r="F183" t="s">
        <v>21</v>
      </c>
      <c r="G183">
        <v>38322</v>
      </c>
      <c r="H183">
        <v>-577.49366339534095</v>
      </c>
      <c r="I183">
        <v>6.1672423206334299</v>
      </c>
      <c r="J183">
        <v>5.7749366339534101</v>
      </c>
      <c r="K183">
        <v>4.5650000000000004</v>
      </c>
      <c r="M183">
        <v>604.508946317403</v>
      </c>
      <c r="N183">
        <v>4.6322825758501498</v>
      </c>
      <c r="O183">
        <v>1066.70087362918</v>
      </c>
      <c r="P183">
        <v>8.9421525407064397</v>
      </c>
      <c r="Q183">
        <v>1.5048036540385801</v>
      </c>
      <c r="R183">
        <v>-229.43749</v>
      </c>
      <c r="S183">
        <v>21.16</v>
      </c>
      <c r="T183">
        <f t="shared" si="12"/>
        <v>0</v>
      </c>
      <c r="U183">
        <f t="shared" si="13"/>
        <v>0</v>
      </c>
      <c r="V183">
        <f t="shared" si="14"/>
        <v>0</v>
      </c>
      <c r="W183">
        <f t="shared" si="15"/>
        <v>0</v>
      </c>
      <c r="X183">
        <f t="shared" si="16"/>
        <v>0</v>
      </c>
      <c r="Y183">
        <f t="shared" si="17"/>
        <v>0</v>
      </c>
    </row>
    <row r="184" spans="1:26" hidden="1" x14ac:dyDescent="0.35">
      <c r="A184">
        <v>182</v>
      </c>
      <c r="C184" t="s">
        <v>372</v>
      </c>
      <c r="D184" t="s">
        <v>373</v>
      </c>
      <c r="E184" s="1">
        <v>35739</v>
      </c>
      <c r="F184" t="s">
        <v>24</v>
      </c>
      <c r="G184">
        <v>51336</v>
      </c>
      <c r="H184">
        <v>701.46389246374395</v>
      </c>
      <c r="I184">
        <v>-4.5179519117346301</v>
      </c>
      <c r="J184">
        <v>-7.0146389246374401</v>
      </c>
      <c r="K184">
        <v>4.4740000000000002</v>
      </c>
      <c r="L184">
        <v>-544.51410305462105</v>
      </c>
      <c r="M184">
        <v>631.97805112737501</v>
      </c>
      <c r="N184">
        <v>-4.4396411485051903</v>
      </c>
      <c r="O184">
        <v>950.19560170704904</v>
      </c>
      <c r="P184">
        <v>5.4890777246177702</v>
      </c>
      <c r="Q184">
        <v>0.34275834029169799</v>
      </c>
      <c r="R184">
        <v>-254.22188</v>
      </c>
      <c r="S184">
        <v>215.39</v>
      </c>
      <c r="T184">
        <f t="shared" si="12"/>
        <v>0</v>
      </c>
      <c r="U184">
        <f t="shared" si="13"/>
        <v>0</v>
      </c>
      <c r="V184">
        <f t="shared" si="14"/>
        <v>0</v>
      </c>
      <c r="W184">
        <f t="shared" si="15"/>
        <v>0</v>
      </c>
      <c r="X184">
        <f t="shared" si="16"/>
        <v>0</v>
      </c>
      <c r="Y184">
        <f t="shared" si="17"/>
        <v>0</v>
      </c>
    </row>
    <row r="185" spans="1:26" hidden="1" x14ac:dyDescent="0.35">
      <c r="A185">
        <v>183</v>
      </c>
      <c r="C185" t="s">
        <v>374</v>
      </c>
      <c r="D185" t="s">
        <v>113</v>
      </c>
      <c r="E185" s="1">
        <v>36237</v>
      </c>
      <c r="F185" t="s">
        <v>24</v>
      </c>
      <c r="G185">
        <v>30584</v>
      </c>
      <c r="H185">
        <v>-559.44129588505996</v>
      </c>
      <c r="I185">
        <v>-7.1504687977785304</v>
      </c>
      <c r="J185">
        <v>5.5944129588506</v>
      </c>
      <c r="K185">
        <v>-5.8019999999999996</v>
      </c>
      <c r="L185">
        <v>-477.14713366321098</v>
      </c>
      <c r="M185">
        <v>389.43153519848198</v>
      </c>
      <c r="N185">
        <v>6.6462885920222901</v>
      </c>
      <c r="O185">
        <v>1064.99846485127</v>
      </c>
      <c r="P185">
        <v>13.123854089466199</v>
      </c>
      <c r="Q185">
        <v>1.96786914970924</v>
      </c>
      <c r="R185">
        <v>-249.59082000000001</v>
      </c>
      <c r="S185">
        <v>-89.95</v>
      </c>
      <c r="T185">
        <f t="shared" si="12"/>
        <v>0</v>
      </c>
      <c r="U185">
        <f t="shared" si="13"/>
        <v>0</v>
      </c>
      <c r="V185">
        <f t="shared" si="14"/>
        <v>0</v>
      </c>
      <c r="W185">
        <f t="shared" si="15"/>
        <v>0</v>
      </c>
      <c r="X185">
        <f t="shared" si="16"/>
        <v>0</v>
      </c>
      <c r="Y185">
        <f t="shared" si="17"/>
        <v>0</v>
      </c>
    </row>
    <row r="186" spans="1:26" hidden="1" x14ac:dyDescent="0.35">
      <c r="A186">
        <v>184</v>
      </c>
      <c r="C186" t="s">
        <v>375</v>
      </c>
      <c r="D186" t="s">
        <v>376</v>
      </c>
      <c r="E186" s="1">
        <v>37015</v>
      </c>
      <c r="F186" t="s">
        <v>21</v>
      </c>
      <c r="G186">
        <v>61647</v>
      </c>
      <c r="H186">
        <v>498.43484232907201</v>
      </c>
      <c r="I186">
        <v>-5.5710893816027802</v>
      </c>
      <c r="J186">
        <v>-4.9843484232907196</v>
      </c>
      <c r="K186">
        <v>3.6829999999999998</v>
      </c>
      <c r="L186">
        <v>-827.07861407619703</v>
      </c>
      <c r="M186">
        <v>572.65356047740102</v>
      </c>
      <c r="N186">
        <v>-6.0929541286180102</v>
      </c>
      <c r="O186">
        <v>929.43209532323397</v>
      </c>
      <c r="P186">
        <v>0.72869957472014202</v>
      </c>
      <c r="Q186">
        <v>1.7579597487966301</v>
      </c>
      <c r="R186">
        <v>-256.83672999999999</v>
      </c>
      <c r="S186">
        <v>204.65</v>
      </c>
      <c r="T186">
        <f t="shared" si="12"/>
        <v>0</v>
      </c>
      <c r="U186">
        <f t="shared" si="13"/>
        <v>0</v>
      </c>
      <c r="V186">
        <f t="shared" si="14"/>
        <v>0</v>
      </c>
      <c r="W186">
        <f t="shared" si="15"/>
        <v>0</v>
      </c>
      <c r="X186">
        <f t="shared" si="16"/>
        <v>0</v>
      </c>
      <c r="Y186">
        <f t="shared" si="17"/>
        <v>0</v>
      </c>
    </row>
    <row r="187" spans="1:26" hidden="1" x14ac:dyDescent="0.35">
      <c r="A187">
        <v>185</v>
      </c>
      <c r="C187" t="s">
        <v>377</v>
      </c>
      <c r="D187" t="s">
        <v>378</v>
      </c>
      <c r="E187" s="1">
        <v>36803</v>
      </c>
      <c r="F187" t="s">
        <v>24</v>
      </c>
      <c r="G187">
        <v>31877</v>
      </c>
      <c r="H187">
        <v>575.25252392256903</v>
      </c>
      <c r="I187">
        <v>-4.6760901170542297</v>
      </c>
      <c r="J187">
        <v>-5.7525252392256903</v>
      </c>
      <c r="K187">
        <v>7.0650000000000004</v>
      </c>
      <c r="L187">
        <v>22.827861923580699</v>
      </c>
      <c r="M187">
        <v>594.50382542812099</v>
      </c>
      <c r="N187">
        <v>-3.4468659469126202</v>
      </c>
      <c r="O187">
        <v>962.44732894948095</v>
      </c>
      <c r="P187">
        <v>3.1764555554907501</v>
      </c>
      <c r="Q187">
        <v>2.2797519794582399</v>
      </c>
      <c r="R187">
        <v>-248.76867999999999</v>
      </c>
      <c r="S187">
        <v>157.72999999999999</v>
      </c>
      <c r="T187">
        <f t="shared" si="12"/>
        <v>0</v>
      </c>
      <c r="U187">
        <f t="shared" si="13"/>
        <v>0</v>
      </c>
      <c r="V187">
        <f t="shared" si="14"/>
        <v>0</v>
      </c>
      <c r="W187">
        <f t="shared" si="15"/>
        <v>0</v>
      </c>
      <c r="X187">
        <f t="shared" si="16"/>
        <v>0</v>
      </c>
      <c r="Y187">
        <f t="shared" si="17"/>
        <v>0</v>
      </c>
    </row>
    <row r="188" spans="1:26" hidden="1" x14ac:dyDescent="0.35">
      <c r="A188">
        <v>186</v>
      </c>
      <c r="C188" t="s">
        <v>379</v>
      </c>
      <c r="D188" t="s">
        <v>380</v>
      </c>
      <c r="E188" s="1">
        <v>35853</v>
      </c>
      <c r="F188" t="s">
        <v>24</v>
      </c>
      <c r="G188">
        <v>55787</v>
      </c>
      <c r="H188">
        <v>332.770794243583</v>
      </c>
      <c r="I188">
        <v>4.5418148855784501</v>
      </c>
      <c r="J188">
        <v>-3.32770794243583</v>
      </c>
      <c r="K188">
        <v>5.3109999999999999</v>
      </c>
      <c r="L188">
        <v>-316.33086721982198</v>
      </c>
      <c r="M188">
        <v>368.75231364941499</v>
      </c>
      <c r="N188">
        <v>4.7921318834693398</v>
      </c>
      <c r="O188">
        <v>1044.19923388508</v>
      </c>
      <c r="P188">
        <v>1.5895507566469</v>
      </c>
      <c r="Q188">
        <v>-1.7006484231743599</v>
      </c>
      <c r="R188">
        <v>-243.49270999999999</v>
      </c>
      <c r="S188">
        <v>-44.76</v>
      </c>
      <c r="T188">
        <f t="shared" si="12"/>
        <v>0</v>
      </c>
      <c r="U188">
        <f t="shared" si="13"/>
        <v>0</v>
      </c>
      <c r="V188">
        <f t="shared" si="14"/>
        <v>0</v>
      </c>
      <c r="W188">
        <f t="shared" si="15"/>
        <v>0</v>
      </c>
      <c r="X188">
        <f t="shared" si="16"/>
        <v>0</v>
      </c>
      <c r="Y188">
        <f t="shared" si="17"/>
        <v>0</v>
      </c>
    </row>
    <row r="189" spans="1:26" hidden="1" x14ac:dyDescent="0.35">
      <c r="A189">
        <v>187</v>
      </c>
      <c r="C189" t="s">
        <v>381</v>
      </c>
      <c r="D189" t="s">
        <v>382</v>
      </c>
      <c r="E189" s="1">
        <v>36626</v>
      </c>
      <c r="F189" t="s">
        <v>21</v>
      </c>
      <c r="G189">
        <v>43216</v>
      </c>
      <c r="H189">
        <v>-470.18023442754298</v>
      </c>
      <c r="I189">
        <v>7.12970874492708</v>
      </c>
      <c r="J189">
        <v>4.7018023442754302</v>
      </c>
      <c r="K189">
        <v>4.5579999999999998</v>
      </c>
      <c r="L189">
        <v>140.68873645924501</v>
      </c>
      <c r="M189">
        <v>556.67910311445496</v>
      </c>
      <c r="N189">
        <v>5.4198231848151099</v>
      </c>
      <c r="O189">
        <v>1030.4772782079999</v>
      </c>
      <c r="P189">
        <v>5.55867298262294</v>
      </c>
      <c r="Q189">
        <v>0.30949624762470801</v>
      </c>
      <c r="R189">
        <v>-231.42081999999999</v>
      </c>
      <c r="S189">
        <v>27.41</v>
      </c>
      <c r="T189">
        <f t="shared" si="12"/>
        <v>0</v>
      </c>
      <c r="U189">
        <f t="shared" si="13"/>
        <v>0</v>
      </c>
      <c r="V189">
        <f t="shared" si="14"/>
        <v>0</v>
      </c>
      <c r="W189">
        <f t="shared" si="15"/>
        <v>0</v>
      </c>
      <c r="X189">
        <f t="shared" si="16"/>
        <v>0</v>
      </c>
      <c r="Y189">
        <f t="shared" si="17"/>
        <v>0</v>
      </c>
    </row>
    <row r="190" spans="1:26" hidden="1" x14ac:dyDescent="0.35">
      <c r="A190">
        <v>188</v>
      </c>
      <c r="C190" t="s">
        <v>383</v>
      </c>
      <c r="D190" t="s">
        <v>384</v>
      </c>
      <c r="E190" s="1">
        <v>36190</v>
      </c>
      <c r="F190" t="s">
        <v>24</v>
      </c>
      <c r="G190">
        <v>55357</v>
      </c>
      <c r="H190">
        <v>384.66341681282501</v>
      </c>
      <c r="I190">
        <v>4.8824670995352299</v>
      </c>
      <c r="J190">
        <v>-3.8466341681282499</v>
      </c>
      <c r="K190">
        <v>6.6959999999999997</v>
      </c>
      <c r="L190">
        <v>-510.23699578474998</v>
      </c>
      <c r="M190">
        <v>422.19605537935098</v>
      </c>
      <c r="N190">
        <v>4.3443084754785399</v>
      </c>
      <c r="O190">
        <v>1049.39237832092</v>
      </c>
      <c r="P190">
        <v>3.8167507343040201</v>
      </c>
      <c r="Q190">
        <v>8.6080141366000798E-2</v>
      </c>
      <c r="R190">
        <v>-242.39238</v>
      </c>
      <c r="S190">
        <v>-9.65</v>
      </c>
      <c r="T190">
        <f t="shared" si="12"/>
        <v>0</v>
      </c>
      <c r="U190">
        <f t="shared" si="13"/>
        <v>0</v>
      </c>
      <c r="V190">
        <f t="shared" si="14"/>
        <v>0</v>
      </c>
      <c r="W190">
        <f t="shared" si="15"/>
        <v>0</v>
      </c>
      <c r="X190">
        <f t="shared" si="16"/>
        <v>0</v>
      </c>
      <c r="Y190">
        <f t="shared" si="17"/>
        <v>0</v>
      </c>
    </row>
    <row r="191" spans="1:26" hidden="1" x14ac:dyDescent="0.35">
      <c r="A191">
        <v>189</v>
      </c>
      <c r="C191" t="s">
        <v>385</v>
      </c>
      <c r="D191" t="s">
        <v>386</v>
      </c>
      <c r="E191" s="1">
        <v>35615</v>
      </c>
      <c r="F191" t="s">
        <v>21</v>
      </c>
      <c r="G191">
        <v>28764</v>
      </c>
      <c r="H191">
        <v>-508.736189619453</v>
      </c>
      <c r="I191">
        <v>-3.2878468573859201</v>
      </c>
      <c r="J191">
        <v>5.0873618961945297</v>
      </c>
      <c r="K191">
        <v>-2.8969999999999998</v>
      </c>
      <c r="L191">
        <v>-508.254403166114</v>
      </c>
      <c r="M191">
        <v>441.59241238071002</v>
      </c>
      <c r="N191">
        <v>2.47182434483797</v>
      </c>
      <c r="O191">
        <v>1066.0088731968401</v>
      </c>
      <c r="P191">
        <v>10.2444723321046</v>
      </c>
      <c r="Q191">
        <v>1.8244328861922701</v>
      </c>
      <c r="R191">
        <v>-246.06914</v>
      </c>
      <c r="S191">
        <v>-6.12</v>
      </c>
      <c r="T191">
        <f t="shared" si="12"/>
        <v>0</v>
      </c>
      <c r="U191">
        <f t="shared" si="13"/>
        <v>0</v>
      </c>
      <c r="V191">
        <f t="shared" si="14"/>
        <v>0</v>
      </c>
      <c r="W191">
        <f t="shared" si="15"/>
        <v>0</v>
      </c>
      <c r="X191">
        <f t="shared" si="16"/>
        <v>0</v>
      </c>
      <c r="Y191">
        <f t="shared" si="17"/>
        <v>0</v>
      </c>
    </row>
    <row r="192" spans="1:26" hidden="1" x14ac:dyDescent="0.35">
      <c r="A192">
        <v>190</v>
      </c>
      <c r="C192" t="s">
        <v>387</v>
      </c>
      <c r="D192" t="s">
        <v>388</v>
      </c>
      <c r="E192" s="1">
        <v>36868</v>
      </c>
      <c r="F192" t="s">
        <v>21</v>
      </c>
      <c r="G192">
        <v>58703</v>
      </c>
      <c r="H192">
        <v>578.00659584139203</v>
      </c>
      <c r="I192">
        <v>-4.6850913100664098</v>
      </c>
      <c r="J192">
        <v>-5.7800659584139202</v>
      </c>
      <c r="K192">
        <v>4.2830000000000004</v>
      </c>
      <c r="L192">
        <v>-346.615624986873</v>
      </c>
      <c r="M192">
        <v>631.69730132876202</v>
      </c>
      <c r="N192">
        <v>-4.8476400909618604</v>
      </c>
      <c r="O192">
        <v>954.27569356086201</v>
      </c>
      <c r="P192">
        <v>4.0696901636707699</v>
      </c>
      <c r="Q192">
        <v>-0.61256420669061096</v>
      </c>
      <c r="R192">
        <v>-253.47022999999999</v>
      </c>
      <c r="S192">
        <v>190.7</v>
      </c>
      <c r="T192">
        <f t="shared" si="12"/>
        <v>0</v>
      </c>
      <c r="U192">
        <f t="shared" si="13"/>
        <v>0</v>
      </c>
      <c r="V192">
        <f t="shared" si="14"/>
        <v>0</v>
      </c>
      <c r="W192">
        <f t="shared" si="15"/>
        <v>0</v>
      </c>
      <c r="X192">
        <f t="shared" si="16"/>
        <v>0</v>
      </c>
      <c r="Y192">
        <f t="shared" si="17"/>
        <v>0</v>
      </c>
    </row>
    <row r="193" spans="1:25" hidden="1" x14ac:dyDescent="0.35">
      <c r="A193">
        <v>191</v>
      </c>
      <c r="C193" t="s">
        <v>389</v>
      </c>
      <c r="D193" t="s">
        <v>390</v>
      </c>
      <c r="E193" s="1">
        <v>37145</v>
      </c>
      <c r="F193" t="s">
        <v>24</v>
      </c>
      <c r="H193">
        <v>660.46356770112095</v>
      </c>
      <c r="I193">
        <v>6.7950925508751201</v>
      </c>
      <c r="J193">
        <v>-6.6046356770112098</v>
      </c>
      <c r="K193">
        <v>3.2759999999999998</v>
      </c>
      <c r="L193">
        <v>-301.774249172515</v>
      </c>
      <c r="M193">
        <v>431.416634031792</v>
      </c>
      <c r="N193">
        <v>5.8276473895036904</v>
      </c>
      <c r="O193">
        <v>1021.01192292516</v>
      </c>
      <c r="P193">
        <v>7.0359130443364801</v>
      </c>
      <c r="Q193">
        <v>1.65753146090586</v>
      </c>
      <c r="R193">
        <v>-243.88</v>
      </c>
      <c r="S193">
        <v>69.790000000000006</v>
      </c>
      <c r="T193">
        <f t="shared" si="12"/>
        <v>0</v>
      </c>
      <c r="U193">
        <f t="shared" si="13"/>
        <v>0</v>
      </c>
      <c r="V193">
        <f t="shared" si="14"/>
        <v>0</v>
      </c>
      <c r="W193">
        <f t="shared" si="15"/>
        <v>0</v>
      </c>
      <c r="X193">
        <f t="shared" si="16"/>
        <v>0</v>
      </c>
      <c r="Y193">
        <f t="shared" si="17"/>
        <v>0</v>
      </c>
    </row>
    <row r="194" spans="1:25" hidden="1" x14ac:dyDescent="0.35">
      <c r="A194">
        <v>192</v>
      </c>
      <c r="C194" t="s">
        <v>391</v>
      </c>
      <c r="D194" t="s">
        <v>392</v>
      </c>
      <c r="E194" s="1">
        <v>35662</v>
      </c>
      <c r="F194" t="s">
        <v>24</v>
      </c>
      <c r="G194">
        <v>59410</v>
      </c>
      <c r="H194">
        <v>794.27667277172804</v>
      </c>
      <c r="I194">
        <v>-4.1806329559195401</v>
      </c>
      <c r="J194">
        <v>-7.94276672771728</v>
      </c>
      <c r="K194">
        <v>5.4779999999999998</v>
      </c>
      <c r="L194">
        <v>-539.46552006883996</v>
      </c>
      <c r="M194">
        <v>568.57401782019701</v>
      </c>
      <c r="N194">
        <v>-5.9300651598851699</v>
      </c>
      <c r="O194">
        <v>916.26092765732994</v>
      </c>
      <c r="P194">
        <v>-1.16205986437107</v>
      </c>
      <c r="Q194">
        <v>1.3068092193715499</v>
      </c>
      <c r="R194">
        <v>-256.44830999999999</v>
      </c>
      <c r="S194">
        <v>212.72</v>
      </c>
      <c r="T194">
        <f t="shared" si="12"/>
        <v>0</v>
      </c>
      <c r="U194">
        <f t="shared" si="13"/>
        <v>0</v>
      </c>
      <c r="V194">
        <f t="shared" si="14"/>
        <v>0</v>
      </c>
      <c r="W194">
        <f t="shared" si="15"/>
        <v>0</v>
      </c>
      <c r="X194">
        <f t="shared" si="16"/>
        <v>0</v>
      </c>
      <c r="Y194">
        <f t="shared" si="17"/>
        <v>0</v>
      </c>
    </row>
    <row r="195" spans="1:25" hidden="1" x14ac:dyDescent="0.35">
      <c r="A195">
        <v>193</v>
      </c>
      <c r="C195" t="s">
        <v>393</v>
      </c>
      <c r="D195" t="s">
        <v>394</v>
      </c>
      <c r="E195" s="1">
        <v>36159</v>
      </c>
      <c r="F195" t="s">
        <v>24</v>
      </c>
      <c r="G195">
        <v>40142</v>
      </c>
      <c r="H195">
        <v>-170.536669636585</v>
      </c>
      <c r="I195">
        <v>2.82925550717147</v>
      </c>
      <c r="J195">
        <v>1.70536669636585</v>
      </c>
      <c r="K195">
        <v>6.5720000000000001</v>
      </c>
      <c r="L195">
        <v>174.56443447155601</v>
      </c>
      <c r="M195">
        <v>566.74326899655102</v>
      </c>
      <c r="N195">
        <v>5.7100418747190398</v>
      </c>
      <c r="O195">
        <v>1035.1450569689</v>
      </c>
      <c r="P195">
        <v>7.67528565871058</v>
      </c>
      <c r="Q195">
        <v>-2.2774422081873702</v>
      </c>
      <c r="R195">
        <v>-234.39323999999999</v>
      </c>
      <c r="S195">
        <v>4.16</v>
      </c>
      <c r="T195">
        <f t="shared" ref="T195:T258" si="18">IF(I195="",1,0)</f>
        <v>0</v>
      </c>
      <c r="U195">
        <f t="shared" ref="U195:U258" si="19">IF(J195="",1,0)</f>
        <v>0</v>
      </c>
      <c r="V195">
        <f t="shared" ref="V195:V258" si="20">IF(P195="",1,0)</f>
        <v>0</v>
      </c>
      <c r="W195">
        <f t="shared" ref="W195:W258" si="21">IF(R195="",1,0)</f>
        <v>0</v>
      </c>
      <c r="X195">
        <f t="shared" ref="X195:X258" si="22">IF(S195="",1,0)</f>
        <v>0</v>
      </c>
      <c r="Y195">
        <f t="shared" ref="Y195:Y258" si="23">--OR(T195:X195)</f>
        <v>0</v>
      </c>
    </row>
    <row r="196" spans="1:25" hidden="1" x14ac:dyDescent="0.35">
      <c r="A196">
        <v>194</v>
      </c>
      <c r="C196" t="s">
        <v>395</v>
      </c>
      <c r="D196" t="s">
        <v>396</v>
      </c>
      <c r="E196" s="1">
        <v>36212</v>
      </c>
      <c r="F196" t="s">
        <v>21</v>
      </c>
      <c r="G196">
        <v>63740</v>
      </c>
      <c r="H196">
        <v>-766.29570966460801</v>
      </c>
      <c r="I196">
        <v>1.91594402635313</v>
      </c>
      <c r="J196">
        <v>7.66295709664608</v>
      </c>
      <c r="K196">
        <v>3.6190000000000002</v>
      </c>
      <c r="L196">
        <v>765.42729555544099</v>
      </c>
      <c r="M196">
        <v>573.50515672116603</v>
      </c>
      <c r="N196">
        <v>3.92872689831009</v>
      </c>
      <c r="O196">
        <v>1062.8185925914399</v>
      </c>
      <c r="P196">
        <v>4.7820283716148104</v>
      </c>
      <c r="Q196">
        <v>-0.219902573675723</v>
      </c>
      <c r="R196">
        <v>-232.29016999999999</v>
      </c>
      <c r="S196">
        <v>-74.650000000000006</v>
      </c>
      <c r="T196">
        <f t="shared" si="18"/>
        <v>0</v>
      </c>
      <c r="U196">
        <f t="shared" si="19"/>
        <v>0</v>
      </c>
      <c r="V196">
        <f t="shared" si="20"/>
        <v>0</v>
      </c>
      <c r="W196">
        <f t="shared" si="21"/>
        <v>0</v>
      </c>
      <c r="X196">
        <f t="shared" si="22"/>
        <v>0</v>
      </c>
      <c r="Y196">
        <f t="shared" si="23"/>
        <v>0</v>
      </c>
    </row>
    <row r="197" spans="1:25" hidden="1" x14ac:dyDescent="0.35">
      <c r="A197">
        <v>195</v>
      </c>
      <c r="C197" t="s">
        <v>397</v>
      </c>
      <c r="D197" t="s">
        <v>398</v>
      </c>
      <c r="E197" s="1">
        <v>36626</v>
      </c>
      <c r="F197" t="s">
        <v>21</v>
      </c>
      <c r="G197">
        <v>55200</v>
      </c>
      <c r="H197">
        <v>462.14310684769998</v>
      </c>
      <c r="I197">
        <v>5.1749719905546803</v>
      </c>
      <c r="J197">
        <v>-4.6214310684770004</v>
      </c>
      <c r="K197">
        <v>6.32</v>
      </c>
      <c r="L197">
        <v>-615.77268140289902</v>
      </c>
      <c r="M197">
        <v>377.92332762251499</v>
      </c>
      <c r="N197">
        <v>5.1861420185546896</v>
      </c>
      <c r="O197">
        <v>1061.7454675960701</v>
      </c>
      <c r="P197">
        <v>4.0140383645023698</v>
      </c>
      <c r="Q197">
        <v>-1.5868724431788901</v>
      </c>
      <c r="R197">
        <v>-243.50290000000001</v>
      </c>
      <c r="S197">
        <v>-34.89</v>
      </c>
      <c r="T197">
        <f t="shared" si="18"/>
        <v>0</v>
      </c>
      <c r="U197">
        <f t="shared" si="19"/>
        <v>0</v>
      </c>
      <c r="V197">
        <f t="shared" si="20"/>
        <v>0</v>
      </c>
      <c r="W197">
        <f t="shared" si="21"/>
        <v>0</v>
      </c>
      <c r="X197">
        <f t="shared" si="22"/>
        <v>0</v>
      </c>
      <c r="Y197">
        <f t="shared" si="23"/>
        <v>0</v>
      </c>
    </row>
    <row r="198" spans="1:25" hidden="1" x14ac:dyDescent="0.35">
      <c r="A198">
        <v>196</v>
      </c>
      <c r="C198" t="s">
        <v>399</v>
      </c>
      <c r="D198" t="s">
        <v>400</v>
      </c>
      <c r="E198" s="1">
        <v>35594</v>
      </c>
      <c r="F198" t="s">
        <v>24</v>
      </c>
      <c r="G198">
        <v>76140</v>
      </c>
      <c r="H198">
        <v>-390.368560764839</v>
      </c>
      <c r="I198">
        <v>4.4736840220564398</v>
      </c>
      <c r="J198">
        <v>3.9036856076483901</v>
      </c>
      <c r="K198">
        <v>7.899</v>
      </c>
      <c r="L198">
        <v>720.15880570431602</v>
      </c>
      <c r="M198">
        <v>653.99538471767301</v>
      </c>
      <c r="N198">
        <v>5.2814357817167403</v>
      </c>
      <c r="O198">
        <v>1066.1206643110299</v>
      </c>
      <c r="P198">
        <v>7.0059402779549398</v>
      </c>
      <c r="Q198">
        <v>-0.86445931086545102</v>
      </c>
      <c r="R198">
        <v>-229.64563000000001</v>
      </c>
      <c r="S198">
        <v>-52.16</v>
      </c>
      <c r="T198">
        <f t="shared" si="18"/>
        <v>0</v>
      </c>
      <c r="U198">
        <f t="shared" si="19"/>
        <v>0</v>
      </c>
      <c r="V198">
        <f t="shared" si="20"/>
        <v>0</v>
      </c>
      <c r="W198">
        <f t="shared" si="21"/>
        <v>0</v>
      </c>
      <c r="X198">
        <f t="shared" si="22"/>
        <v>0</v>
      </c>
      <c r="Y198">
        <f t="shared" si="23"/>
        <v>0</v>
      </c>
    </row>
    <row r="199" spans="1:25" hidden="1" x14ac:dyDescent="0.35">
      <c r="A199">
        <v>197</v>
      </c>
      <c r="C199" t="s">
        <v>401</v>
      </c>
      <c r="D199" t="s">
        <v>402</v>
      </c>
      <c r="E199" s="1">
        <v>37113</v>
      </c>
      <c r="F199" t="s">
        <v>24</v>
      </c>
      <c r="G199">
        <v>67916</v>
      </c>
      <c r="H199">
        <v>501.56918200765102</v>
      </c>
      <c r="I199">
        <v>3.3102170741608399</v>
      </c>
      <c r="J199">
        <v>-5.0156918200765102</v>
      </c>
      <c r="K199">
        <v>4.673</v>
      </c>
      <c r="L199">
        <v>-552.04307065482794</v>
      </c>
      <c r="M199">
        <v>442.53236279665202</v>
      </c>
      <c r="N199">
        <v>3.04736221106613</v>
      </c>
      <c r="O199">
        <v>1057.59634386997</v>
      </c>
      <c r="P199">
        <v>5.4202828521043802</v>
      </c>
      <c r="Q199">
        <v>-0.18926296455133099</v>
      </c>
      <c r="R199">
        <v>-246.73429999999999</v>
      </c>
      <c r="S199">
        <v>-2.85</v>
      </c>
      <c r="T199">
        <f t="shared" si="18"/>
        <v>0</v>
      </c>
      <c r="U199">
        <f t="shared" si="19"/>
        <v>0</v>
      </c>
      <c r="V199">
        <f t="shared" si="20"/>
        <v>0</v>
      </c>
      <c r="W199">
        <f t="shared" si="21"/>
        <v>0</v>
      </c>
      <c r="X199">
        <f t="shared" si="22"/>
        <v>0</v>
      </c>
      <c r="Y199">
        <f t="shared" si="23"/>
        <v>0</v>
      </c>
    </row>
    <row r="200" spans="1:25" hidden="1" x14ac:dyDescent="0.35">
      <c r="A200">
        <v>198</v>
      </c>
      <c r="C200" t="s">
        <v>403</v>
      </c>
      <c r="D200" t="s">
        <v>404</v>
      </c>
      <c r="E200" s="1">
        <v>36414</v>
      </c>
      <c r="F200" t="s">
        <v>21</v>
      </c>
      <c r="G200">
        <v>46740</v>
      </c>
      <c r="H200">
        <v>360.42416768867099</v>
      </c>
      <c r="I200">
        <v>5.2827632967778699</v>
      </c>
      <c r="J200">
        <v>-3.6042416768867098</v>
      </c>
      <c r="K200">
        <v>4.2080000000000002</v>
      </c>
      <c r="L200">
        <v>-307.033470488023</v>
      </c>
      <c r="M200">
        <v>401.779739456144</v>
      </c>
      <c r="N200">
        <v>5.45474562281189</v>
      </c>
      <c r="P200">
        <v>3.7756169211021802</v>
      </c>
      <c r="Q200">
        <v>-1.9022443138273</v>
      </c>
      <c r="R200">
        <v>-243.10302999999999</v>
      </c>
      <c r="S200">
        <v>-3.86</v>
      </c>
      <c r="T200">
        <f t="shared" si="18"/>
        <v>0</v>
      </c>
      <c r="U200">
        <f t="shared" si="19"/>
        <v>0</v>
      </c>
      <c r="V200">
        <f t="shared" si="20"/>
        <v>0</v>
      </c>
      <c r="W200">
        <f t="shared" si="21"/>
        <v>0</v>
      </c>
      <c r="X200">
        <f t="shared" si="22"/>
        <v>0</v>
      </c>
      <c r="Y200">
        <f t="shared" si="23"/>
        <v>0</v>
      </c>
    </row>
    <row r="201" spans="1:25" hidden="1" x14ac:dyDescent="0.35">
      <c r="A201">
        <v>199</v>
      </c>
      <c r="C201" t="s">
        <v>405</v>
      </c>
      <c r="D201" t="s">
        <v>406</v>
      </c>
      <c r="E201" s="1">
        <v>35937</v>
      </c>
      <c r="F201" t="s">
        <v>24</v>
      </c>
      <c r="G201">
        <v>55037</v>
      </c>
      <c r="H201">
        <v>604.43275528255504</v>
      </c>
      <c r="I201">
        <v>-4.1837314691151297</v>
      </c>
      <c r="J201">
        <v>-6.0443275528255498</v>
      </c>
      <c r="K201">
        <v>5.2060000000000004</v>
      </c>
      <c r="L201">
        <v>-595.43823121618505</v>
      </c>
      <c r="M201">
        <v>596.70666555920297</v>
      </c>
      <c r="N201">
        <v>-7.18909035233344</v>
      </c>
      <c r="O201">
        <v>916.16546715962897</v>
      </c>
      <c r="P201">
        <v>-0.91929237050058299</v>
      </c>
      <c r="Q201">
        <v>-0.762205351519882</v>
      </c>
      <c r="R201">
        <v>-255.02708999999999</v>
      </c>
      <c r="S201">
        <v>240.15</v>
      </c>
      <c r="T201">
        <f t="shared" si="18"/>
        <v>0</v>
      </c>
      <c r="U201">
        <f t="shared" si="19"/>
        <v>0</v>
      </c>
      <c r="V201">
        <f t="shared" si="20"/>
        <v>0</v>
      </c>
      <c r="W201">
        <f t="shared" si="21"/>
        <v>0</v>
      </c>
      <c r="X201">
        <f t="shared" si="22"/>
        <v>0</v>
      </c>
      <c r="Y201">
        <f t="shared" si="23"/>
        <v>0</v>
      </c>
    </row>
    <row r="202" spans="1:25" hidden="1" x14ac:dyDescent="0.35">
      <c r="A202">
        <v>200</v>
      </c>
      <c r="C202" t="s">
        <v>407</v>
      </c>
      <c r="D202" t="s">
        <v>408</v>
      </c>
      <c r="E202" s="1">
        <v>36158</v>
      </c>
      <c r="F202" t="s">
        <v>24</v>
      </c>
      <c r="G202">
        <v>18270</v>
      </c>
      <c r="H202">
        <v>640.25637969414004</v>
      </c>
      <c r="I202">
        <v>-5.2815860574898199</v>
      </c>
      <c r="J202">
        <v>-6.4025637969413998</v>
      </c>
      <c r="K202">
        <v>6.1559999999999997</v>
      </c>
      <c r="L202">
        <v>-295.93786060239103</v>
      </c>
      <c r="M202">
        <v>603.52088734208996</v>
      </c>
      <c r="N202">
        <v>-2.4105127792788101</v>
      </c>
      <c r="O202">
        <v>964.76505815851999</v>
      </c>
      <c r="P202">
        <v>7.1675552091621197</v>
      </c>
      <c r="Q202">
        <v>1.0838316178755201</v>
      </c>
      <c r="R202">
        <v>-249.85008999999999</v>
      </c>
      <c r="S202">
        <v>188.18</v>
      </c>
      <c r="T202">
        <f t="shared" si="18"/>
        <v>0</v>
      </c>
      <c r="U202">
        <f t="shared" si="19"/>
        <v>0</v>
      </c>
      <c r="V202">
        <f t="shared" si="20"/>
        <v>0</v>
      </c>
      <c r="W202">
        <f t="shared" si="21"/>
        <v>0</v>
      </c>
      <c r="X202">
        <f t="shared" si="22"/>
        <v>0</v>
      </c>
      <c r="Y202">
        <f t="shared" si="23"/>
        <v>0</v>
      </c>
    </row>
    <row r="203" spans="1:25" hidden="1" x14ac:dyDescent="0.35">
      <c r="A203">
        <v>201</v>
      </c>
      <c r="C203" t="s">
        <v>409</v>
      </c>
      <c r="D203" t="s">
        <v>410</v>
      </c>
      <c r="E203" s="1">
        <v>35498</v>
      </c>
      <c r="F203" t="s">
        <v>24</v>
      </c>
      <c r="G203">
        <v>57631</v>
      </c>
      <c r="H203">
        <v>498.028357393786</v>
      </c>
      <c r="I203">
        <v>5.6884242444195401</v>
      </c>
      <c r="J203">
        <v>-4.9802835739378599</v>
      </c>
      <c r="K203">
        <v>3.4319999999999999</v>
      </c>
      <c r="L203">
        <v>-287.31390746748201</v>
      </c>
      <c r="M203">
        <v>421.965410358344</v>
      </c>
      <c r="N203">
        <v>2.9087040713663099</v>
      </c>
      <c r="O203">
        <v>1031.8248319637901</v>
      </c>
      <c r="P203">
        <v>2.77357670115348</v>
      </c>
      <c r="Q203">
        <v>7.3261866994178707E-2</v>
      </c>
      <c r="R203">
        <v>-245.78106</v>
      </c>
      <c r="S203">
        <v>28.26</v>
      </c>
      <c r="T203">
        <f t="shared" si="18"/>
        <v>0</v>
      </c>
      <c r="U203">
        <f t="shared" si="19"/>
        <v>0</v>
      </c>
      <c r="V203">
        <f t="shared" si="20"/>
        <v>0</v>
      </c>
      <c r="W203">
        <f t="shared" si="21"/>
        <v>0</v>
      </c>
      <c r="X203">
        <f t="shared" si="22"/>
        <v>0</v>
      </c>
      <c r="Y203">
        <f t="shared" si="23"/>
        <v>0</v>
      </c>
    </row>
    <row r="204" spans="1:25" hidden="1" x14ac:dyDescent="0.35">
      <c r="A204">
        <v>202</v>
      </c>
      <c r="C204" t="s">
        <v>411</v>
      </c>
      <c r="D204" t="s">
        <v>412</v>
      </c>
      <c r="E204" s="1">
        <v>35693</v>
      </c>
      <c r="F204" t="s">
        <v>21</v>
      </c>
      <c r="G204">
        <v>39681</v>
      </c>
      <c r="H204">
        <v>-457.08433897696801</v>
      </c>
      <c r="I204">
        <v>6.3175103205053098</v>
      </c>
      <c r="J204">
        <v>4.5708433897696796</v>
      </c>
      <c r="K204">
        <v>5.0229999999999997</v>
      </c>
      <c r="L204">
        <v>581.76474889584495</v>
      </c>
      <c r="M204">
        <v>558.36136400333396</v>
      </c>
      <c r="N204">
        <v>5.24871045471453</v>
      </c>
      <c r="O204">
        <v>1062.7198395727401</v>
      </c>
      <c r="P204">
        <v>6.3745493358499203</v>
      </c>
      <c r="Q204">
        <v>-0.61048052208231895</v>
      </c>
      <c r="R204">
        <v>-229.88836000000001</v>
      </c>
      <c r="S204">
        <v>-16.28</v>
      </c>
      <c r="T204">
        <f t="shared" si="18"/>
        <v>0</v>
      </c>
      <c r="U204">
        <f t="shared" si="19"/>
        <v>0</v>
      </c>
      <c r="V204">
        <f t="shared" si="20"/>
        <v>0</v>
      </c>
      <c r="W204">
        <f t="shared" si="21"/>
        <v>0</v>
      </c>
      <c r="X204">
        <f t="shared" si="22"/>
        <v>0</v>
      </c>
      <c r="Y204">
        <f t="shared" si="23"/>
        <v>0</v>
      </c>
    </row>
    <row r="205" spans="1:25" hidden="1" x14ac:dyDescent="0.35">
      <c r="A205">
        <v>203</v>
      </c>
      <c r="C205" t="s">
        <v>413</v>
      </c>
      <c r="D205" t="s">
        <v>414</v>
      </c>
      <c r="E205" s="1">
        <v>36301</v>
      </c>
      <c r="F205" t="s">
        <v>21</v>
      </c>
      <c r="G205">
        <v>46334</v>
      </c>
      <c r="H205">
        <v>384.99986017914898</v>
      </c>
      <c r="I205">
        <v>6.2457958700660798</v>
      </c>
      <c r="J205">
        <v>-3.8499986017914898</v>
      </c>
      <c r="K205">
        <v>4.181</v>
      </c>
      <c r="L205">
        <v>-456.45441775717802</v>
      </c>
      <c r="M205">
        <v>430.02460314080201</v>
      </c>
      <c r="N205">
        <v>3.30814129540728</v>
      </c>
      <c r="O205">
        <v>1039.9762124594999</v>
      </c>
      <c r="P205">
        <v>4.2314812072136201</v>
      </c>
      <c r="Q205">
        <v>1.0054214007457101</v>
      </c>
      <c r="R205">
        <v>-243.29418000000001</v>
      </c>
      <c r="S205">
        <v>41.49</v>
      </c>
      <c r="T205">
        <f t="shared" si="18"/>
        <v>0</v>
      </c>
      <c r="U205">
        <f t="shared" si="19"/>
        <v>0</v>
      </c>
      <c r="V205">
        <f t="shared" si="20"/>
        <v>0</v>
      </c>
      <c r="W205">
        <f t="shared" si="21"/>
        <v>0</v>
      </c>
      <c r="X205">
        <f t="shared" si="22"/>
        <v>0</v>
      </c>
      <c r="Y205">
        <f t="shared" si="23"/>
        <v>0</v>
      </c>
    </row>
    <row r="206" spans="1:25" hidden="1" x14ac:dyDescent="0.35">
      <c r="A206">
        <v>204</v>
      </c>
      <c r="C206" t="s">
        <v>415</v>
      </c>
      <c r="D206" t="s">
        <v>416</v>
      </c>
      <c r="E206" s="1">
        <v>36678</v>
      </c>
      <c r="F206" t="s">
        <v>24</v>
      </c>
      <c r="G206">
        <v>52507</v>
      </c>
      <c r="H206">
        <v>521.97009575785296</v>
      </c>
      <c r="I206">
        <v>-3.3830619389996102</v>
      </c>
      <c r="J206">
        <v>-5.2197009575785298</v>
      </c>
      <c r="K206">
        <v>5.9640000000000004</v>
      </c>
      <c r="L206">
        <v>-616.33081479494501</v>
      </c>
      <c r="M206">
        <v>601.18330668488795</v>
      </c>
      <c r="N206">
        <v>-6.7732299923670301</v>
      </c>
      <c r="O206">
        <v>949.46329828992498</v>
      </c>
      <c r="P206">
        <v>0.92932162871284396</v>
      </c>
      <c r="Q206">
        <v>-1.28339163010872</v>
      </c>
      <c r="R206">
        <v>-252.38607999999999</v>
      </c>
      <c r="S206">
        <v>218.13</v>
      </c>
      <c r="T206">
        <f t="shared" si="18"/>
        <v>0</v>
      </c>
      <c r="U206">
        <f t="shared" si="19"/>
        <v>0</v>
      </c>
      <c r="V206">
        <f t="shared" si="20"/>
        <v>0</v>
      </c>
      <c r="W206">
        <f t="shared" si="21"/>
        <v>0</v>
      </c>
      <c r="X206">
        <f t="shared" si="22"/>
        <v>0</v>
      </c>
      <c r="Y206">
        <f t="shared" si="23"/>
        <v>0</v>
      </c>
    </row>
    <row r="207" spans="1:25" hidden="1" x14ac:dyDescent="0.35">
      <c r="A207">
        <v>205</v>
      </c>
      <c r="C207" t="s">
        <v>417</v>
      </c>
      <c r="D207" t="s">
        <v>418</v>
      </c>
      <c r="E207" s="1">
        <v>36523</v>
      </c>
      <c r="F207" t="s">
        <v>21</v>
      </c>
      <c r="G207">
        <v>66607</v>
      </c>
      <c r="H207">
        <v>-313.896091784318</v>
      </c>
      <c r="I207">
        <v>-3.3837829857272701</v>
      </c>
      <c r="J207">
        <v>3.1389609178431801</v>
      </c>
      <c r="K207">
        <v>-4.1399999999999997</v>
      </c>
      <c r="L207">
        <v>-391.73154826748299</v>
      </c>
      <c r="M207">
        <v>456.797555011719</v>
      </c>
      <c r="N207">
        <v>3.5354167115134598</v>
      </c>
      <c r="O207">
        <v>1023.1685873937701</v>
      </c>
      <c r="P207">
        <v>7.5191112699670102</v>
      </c>
      <c r="Q207">
        <v>0.50968486002444302</v>
      </c>
      <c r="R207">
        <v>-250.71695</v>
      </c>
      <c r="S207">
        <v>-23.32</v>
      </c>
      <c r="T207">
        <f t="shared" si="18"/>
        <v>0</v>
      </c>
      <c r="U207">
        <f t="shared" si="19"/>
        <v>0</v>
      </c>
      <c r="V207">
        <f t="shared" si="20"/>
        <v>0</v>
      </c>
      <c r="W207">
        <f t="shared" si="21"/>
        <v>0</v>
      </c>
      <c r="X207">
        <f t="shared" si="22"/>
        <v>0</v>
      </c>
      <c r="Y207">
        <f t="shared" si="23"/>
        <v>0</v>
      </c>
    </row>
    <row r="208" spans="1:25" hidden="1" x14ac:dyDescent="0.35">
      <c r="A208">
        <v>206</v>
      </c>
      <c r="C208" t="s">
        <v>419</v>
      </c>
      <c r="D208" t="s">
        <v>420</v>
      </c>
      <c r="E208" s="1">
        <v>35965</v>
      </c>
      <c r="F208" t="s">
        <v>24</v>
      </c>
      <c r="G208">
        <v>76876</v>
      </c>
      <c r="H208">
        <v>-623.60676402741399</v>
      </c>
      <c r="I208">
        <v>4.5514443427921396</v>
      </c>
      <c r="J208">
        <v>6.2360676402741397</v>
      </c>
      <c r="K208">
        <v>5.1070000000000002</v>
      </c>
      <c r="L208">
        <v>646.56902753963595</v>
      </c>
      <c r="M208">
        <v>621.71914493847896</v>
      </c>
      <c r="N208">
        <v>6.1690198613058804</v>
      </c>
      <c r="O208">
        <v>1048.1003441185301</v>
      </c>
      <c r="P208">
        <v>6.0126248166400904</v>
      </c>
      <c r="Q208">
        <v>9.7963428862598304E-2</v>
      </c>
      <c r="R208">
        <v>-230.51163</v>
      </c>
      <c r="S208">
        <v>-58.42</v>
      </c>
      <c r="T208">
        <f t="shared" si="18"/>
        <v>0</v>
      </c>
      <c r="U208">
        <f t="shared" si="19"/>
        <v>0</v>
      </c>
      <c r="V208">
        <f t="shared" si="20"/>
        <v>0</v>
      </c>
      <c r="W208">
        <f t="shared" si="21"/>
        <v>0</v>
      </c>
      <c r="X208">
        <f t="shared" si="22"/>
        <v>0</v>
      </c>
      <c r="Y208">
        <f t="shared" si="23"/>
        <v>0</v>
      </c>
    </row>
    <row r="209" spans="1:25" hidden="1" x14ac:dyDescent="0.35">
      <c r="A209">
        <v>207</v>
      </c>
      <c r="C209" t="s">
        <v>421</v>
      </c>
      <c r="D209" t="s">
        <v>422</v>
      </c>
      <c r="E209" s="1">
        <v>36781</v>
      </c>
      <c r="F209" t="s">
        <v>24</v>
      </c>
      <c r="G209">
        <v>37371</v>
      </c>
      <c r="H209">
        <v>686.32984877298304</v>
      </c>
      <c r="I209">
        <v>2.3261764816363102</v>
      </c>
      <c r="J209">
        <v>-6.8632984877298204</v>
      </c>
      <c r="K209">
        <v>6.617</v>
      </c>
      <c r="L209">
        <v>-439.07724353581102</v>
      </c>
      <c r="M209">
        <v>486.82151430661497</v>
      </c>
      <c r="N209">
        <v>3.5602857403605102</v>
      </c>
      <c r="O209">
        <v>1042.0646791124</v>
      </c>
      <c r="P209">
        <v>8.2590005988668604</v>
      </c>
      <c r="Q209">
        <v>1.1615035084227101</v>
      </c>
      <c r="R209">
        <v>-244.82687999999999</v>
      </c>
      <c r="S209">
        <v>52.4</v>
      </c>
      <c r="T209">
        <f t="shared" si="18"/>
        <v>0</v>
      </c>
      <c r="U209">
        <f t="shared" si="19"/>
        <v>0</v>
      </c>
      <c r="V209">
        <f t="shared" si="20"/>
        <v>0</v>
      </c>
      <c r="W209">
        <f t="shared" si="21"/>
        <v>0</v>
      </c>
      <c r="X209">
        <f t="shared" si="22"/>
        <v>0</v>
      </c>
      <c r="Y209">
        <f t="shared" si="23"/>
        <v>0</v>
      </c>
    </row>
    <row r="210" spans="1:25" hidden="1" x14ac:dyDescent="0.35">
      <c r="A210">
        <v>208</v>
      </c>
      <c r="C210" t="s">
        <v>423</v>
      </c>
      <c r="D210" t="s">
        <v>424</v>
      </c>
      <c r="E210" s="1">
        <v>35789</v>
      </c>
      <c r="F210" t="s">
        <v>21</v>
      </c>
      <c r="G210">
        <v>66576</v>
      </c>
      <c r="H210">
        <v>455.40376180432298</v>
      </c>
      <c r="I210">
        <v>-5.6149848171740198</v>
      </c>
      <c r="J210">
        <v>-4.55403761804323</v>
      </c>
      <c r="K210">
        <v>5.29</v>
      </c>
      <c r="L210">
        <v>-201.40442873147899</v>
      </c>
      <c r="M210">
        <v>596.04959509896503</v>
      </c>
      <c r="N210">
        <v>-5.1007688909183599</v>
      </c>
      <c r="O210">
        <v>927.74285462466298</v>
      </c>
      <c r="P210">
        <v>-0.88796029630426598</v>
      </c>
      <c r="Q210">
        <v>-1.2749389719805599</v>
      </c>
      <c r="R210">
        <v>-253.38955000000001</v>
      </c>
      <c r="S210">
        <v>159.15</v>
      </c>
      <c r="T210">
        <f t="shared" si="18"/>
        <v>0</v>
      </c>
      <c r="U210">
        <f t="shared" si="19"/>
        <v>0</v>
      </c>
      <c r="V210">
        <f t="shared" si="20"/>
        <v>0</v>
      </c>
      <c r="W210">
        <f t="shared" si="21"/>
        <v>0</v>
      </c>
      <c r="X210">
        <f t="shared" si="22"/>
        <v>0</v>
      </c>
      <c r="Y210">
        <f t="shared" si="23"/>
        <v>0</v>
      </c>
    </row>
    <row r="211" spans="1:25" hidden="1" x14ac:dyDescent="0.35">
      <c r="A211">
        <v>209</v>
      </c>
      <c r="C211" t="s">
        <v>425</v>
      </c>
      <c r="D211" t="s">
        <v>426</v>
      </c>
      <c r="E211" s="1">
        <v>37158</v>
      </c>
      <c r="F211" t="s">
        <v>24</v>
      </c>
      <c r="G211">
        <v>92644</v>
      </c>
      <c r="H211">
        <v>-361.51516128800398</v>
      </c>
      <c r="I211">
        <v>3.82519698264896</v>
      </c>
      <c r="J211">
        <v>3.6151516128800401</v>
      </c>
      <c r="L211">
        <v>712.34538012054702</v>
      </c>
      <c r="M211">
        <v>654.51685781720698</v>
      </c>
      <c r="N211">
        <v>4.4000227303361097</v>
      </c>
      <c r="O211">
        <v>1045.56665670496</v>
      </c>
      <c r="P211">
        <v>4.6844455599402401</v>
      </c>
      <c r="Q211">
        <v>-3.2512006813127499E-2</v>
      </c>
      <c r="R211">
        <v>-232.38406000000001</v>
      </c>
      <c r="S211">
        <v>-51.31</v>
      </c>
      <c r="T211">
        <f t="shared" si="18"/>
        <v>0</v>
      </c>
      <c r="U211">
        <f t="shared" si="19"/>
        <v>0</v>
      </c>
      <c r="V211">
        <f t="shared" si="20"/>
        <v>0</v>
      </c>
      <c r="W211">
        <f t="shared" si="21"/>
        <v>0</v>
      </c>
      <c r="X211">
        <f t="shared" si="22"/>
        <v>0</v>
      </c>
      <c r="Y211">
        <f t="shared" si="23"/>
        <v>0</v>
      </c>
    </row>
    <row r="212" spans="1:25" hidden="1" x14ac:dyDescent="0.35">
      <c r="A212">
        <v>210</v>
      </c>
      <c r="C212" t="s">
        <v>427</v>
      </c>
      <c r="D212" t="s">
        <v>428</v>
      </c>
      <c r="E212" s="1">
        <v>36549</v>
      </c>
      <c r="F212" t="s">
        <v>21</v>
      </c>
      <c r="G212">
        <v>43001</v>
      </c>
      <c r="H212">
        <v>543.19541982726503</v>
      </c>
      <c r="I212">
        <v>-3.5579317472209402</v>
      </c>
      <c r="J212">
        <v>-5.43195419827265</v>
      </c>
      <c r="K212">
        <v>6.3259999999999996</v>
      </c>
      <c r="L212">
        <v>-374.79661803713998</v>
      </c>
      <c r="M212">
        <v>606.69599879297596</v>
      </c>
      <c r="N212">
        <v>-5.58426906647784</v>
      </c>
      <c r="O212">
        <v>961.73432146410096</v>
      </c>
      <c r="P212">
        <v>2.5783181111819302</v>
      </c>
      <c r="Q212">
        <v>0.18726984292095</v>
      </c>
      <c r="R212">
        <v>-250.56432000000001</v>
      </c>
      <c r="S212">
        <v>199.63</v>
      </c>
      <c r="T212">
        <f t="shared" si="18"/>
        <v>0</v>
      </c>
      <c r="U212">
        <f t="shared" si="19"/>
        <v>0</v>
      </c>
      <c r="V212">
        <f t="shared" si="20"/>
        <v>0</v>
      </c>
      <c r="W212">
        <f t="shared" si="21"/>
        <v>0</v>
      </c>
      <c r="X212">
        <f t="shared" si="22"/>
        <v>0</v>
      </c>
      <c r="Y212">
        <f t="shared" si="23"/>
        <v>0</v>
      </c>
    </row>
    <row r="213" spans="1:25" hidden="1" x14ac:dyDescent="0.35">
      <c r="A213">
        <v>211</v>
      </c>
      <c r="C213" t="s">
        <v>429</v>
      </c>
      <c r="D213" t="s">
        <v>430</v>
      </c>
      <c r="E213" s="1">
        <v>36470</v>
      </c>
      <c r="F213" t="s">
        <v>21</v>
      </c>
      <c r="G213">
        <v>79633</v>
      </c>
      <c r="H213">
        <v>298.74960576191103</v>
      </c>
      <c r="I213">
        <v>5.6696916199927596</v>
      </c>
      <c r="J213">
        <v>-2.9874960576191101</v>
      </c>
      <c r="K213">
        <v>6.0359999999999996</v>
      </c>
      <c r="L213">
        <v>-830.70957951438299</v>
      </c>
      <c r="M213">
        <v>364.585169650784</v>
      </c>
      <c r="N213">
        <v>1.94826739598045</v>
      </c>
      <c r="O213">
        <v>1085.70459184935</v>
      </c>
      <c r="P213">
        <v>1.0955188826306099</v>
      </c>
      <c r="Q213">
        <v>-0.41133441633626699</v>
      </c>
      <c r="R213">
        <v>-244.87228999999999</v>
      </c>
      <c r="S213">
        <v>-50.8</v>
      </c>
      <c r="T213">
        <f t="shared" si="18"/>
        <v>0</v>
      </c>
      <c r="U213">
        <f t="shared" si="19"/>
        <v>0</v>
      </c>
      <c r="V213">
        <f t="shared" si="20"/>
        <v>0</v>
      </c>
      <c r="W213">
        <f t="shared" si="21"/>
        <v>0</v>
      </c>
      <c r="X213">
        <f t="shared" si="22"/>
        <v>0</v>
      </c>
      <c r="Y213">
        <f t="shared" si="23"/>
        <v>0</v>
      </c>
    </row>
    <row r="214" spans="1:25" hidden="1" x14ac:dyDescent="0.35">
      <c r="A214">
        <v>212</v>
      </c>
      <c r="C214" t="s">
        <v>431</v>
      </c>
      <c r="D214" t="s">
        <v>432</v>
      </c>
      <c r="E214" s="1">
        <v>36258</v>
      </c>
      <c r="F214" t="s">
        <v>21</v>
      </c>
      <c r="G214">
        <v>54055</v>
      </c>
      <c r="H214">
        <v>-558.44050110768296</v>
      </c>
      <c r="I214">
        <v>-1.8644020894451601</v>
      </c>
      <c r="J214">
        <v>5.5844050110768197</v>
      </c>
      <c r="K214">
        <v>-6.0250000000000004</v>
      </c>
      <c r="L214">
        <v>-300.23467298039401</v>
      </c>
      <c r="M214">
        <v>423.836667483778</v>
      </c>
      <c r="N214">
        <v>2.9508742503776899</v>
      </c>
      <c r="O214">
        <v>1016.2341919581399</v>
      </c>
      <c r="P214">
        <v>5.6016965013130999</v>
      </c>
      <c r="Q214">
        <v>-0.62834598185040902</v>
      </c>
      <c r="R214">
        <v>-249.08981</v>
      </c>
      <c r="S214">
        <v>-8.41</v>
      </c>
      <c r="T214">
        <f t="shared" si="18"/>
        <v>0</v>
      </c>
      <c r="U214">
        <f t="shared" si="19"/>
        <v>0</v>
      </c>
      <c r="V214">
        <f t="shared" si="20"/>
        <v>0</v>
      </c>
      <c r="W214">
        <f t="shared" si="21"/>
        <v>0</v>
      </c>
      <c r="X214">
        <f t="shared" si="22"/>
        <v>0</v>
      </c>
      <c r="Y214">
        <f t="shared" si="23"/>
        <v>0</v>
      </c>
    </row>
    <row r="215" spans="1:25" hidden="1" x14ac:dyDescent="0.35">
      <c r="A215">
        <v>213</v>
      </c>
      <c r="C215" t="s">
        <v>319</v>
      </c>
      <c r="D215" t="s">
        <v>433</v>
      </c>
      <c r="E215" s="1">
        <v>36259</v>
      </c>
      <c r="F215" t="s">
        <v>24</v>
      </c>
      <c r="G215">
        <v>42055</v>
      </c>
      <c r="H215">
        <v>-540.97849979177795</v>
      </c>
      <c r="I215">
        <v>5.49990827890527</v>
      </c>
      <c r="J215">
        <v>5.4097849979177797</v>
      </c>
      <c r="K215">
        <v>5.09</v>
      </c>
      <c r="L215">
        <v>655.25714822576595</v>
      </c>
      <c r="M215">
        <v>587.91261372924805</v>
      </c>
      <c r="N215">
        <v>5.8450551703133096</v>
      </c>
      <c r="O215">
        <v>1073.6746991975499</v>
      </c>
      <c r="P215">
        <v>8.2282602393814308</v>
      </c>
      <c r="Q215">
        <v>0.67318473892630504</v>
      </c>
      <c r="R215">
        <v>-228.78752</v>
      </c>
      <c r="S215">
        <v>-31.78</v>
      </c>
      <c r="T215">
        <f t="shared" si="18"/>
        <v>0</v>
      </c>
      <c r="U215">
        <f t="shared" si="19"/>
        <v>0</v>
      </c>
      <c r="V215">
        <f t="shared" si="20"/>
        <v>0</v>
      </c>
      <c r="W215">
        <f t="shared" si="21"/>
        <v>0</v>
      </c>
      <c r="X215">
        <f t="shared" si="22"/>
        <v>0</v>
      </c>
      <c r="Y215">
        <f t="shared" si="23"/>
        <v>0</v>
      </c>
    </row>
    <row r="216" spans="1:25" hidden="1" x14ac:dyDescent="0.35">
      <c r="A216">
        <v>214</v>
      </c>
      <c r="C216" t="s">
        <v>423</v>
      </c>
      <c r="D216" t="s">
        <v>434</v>
      </c>
      <c r="E216" s="1">
        <v>36613</v>
      </c>
      <c r="F216" t="s">
        <v>21</v>
      </c>
      <c r="G216">
        <v>43842</v>
      </c>
      <c r="H216">
        <v>-506.16868670661501</v>
      </c>
      <c r="I216">
        <v>-3.46445968199082</v>
      </c>
      <c r="J216">
        <v>5.0616868670661503</v>
      </c>
      <c r="K216">
        <v>-6.2429999999999897</v>
      </c>
      <c r="L216">
        <v>-791.24113174966203</v>
      </c>
      <c r="M216">
        <v>367.44785288046</v>
      </c>
      <c r="N216">
        <v>4.2727578347291599</v>
      </c>
      <c r="O216">
        <v>1076.53944558433</v>
      </c>
      <c r="P216">
        <v>10.7154211644288</v>
      </c>
      <c r="Q216">
        <v>-0.81611109077319099</v>
      </c>
      <c r="R216">
        <v>-250.55633</v>
      </c>
      <c r="S216">
        <v>-58.07</v>
      </c>
      <c r="T216">
        <f t="shared" si="18"/>
        <v>0</v>
      </c>
      <c r="U216">
        <f t="shared" si="19"/>
        <v>0</v>
      </c>
      <c r="V216">
        <f t="shared" si="20"/>
        <v>0</v>
      </c>
      <c r="W216">
        <f t="shared" si="21"/>
        <v>0</v>
      </c>
      <c r="X216">
        <f t="shared" si="22"/>
        <v>0</v>
      </c>
      <c r="Y216">
        <f t="shared" si="23"/>
        <v>0</v>
      </c>
    </row>
    <row r="217" spans="1:25" hidden="1" x14ac:dyDescent="0.35">
      <c r="A217">
        <v>215</v>
      </c>
      <c r="C217" t="s">
        <v>435</v>
      </c>
      <c r="D217" t="s">
        <v>436</v>
      </c>
      <c r="E217" s="1">
        <v>35604</v>
      </c>
      <c r="F217" t="s">
        <v>24</v>
      </c>
      <c r="G217">
        <v>33434</v>
      </c>
      <c r="H217">
        <v>-551.93572824346995</v>
      </c>
      <c r="I217">
        <v>-5.9108153446346803</v>
      </c>
      <c r="J217">
        <v>5.5193572824346999</v>
      </c>
      <c r="K217">
        <v>-7.0419999999999998</v>
      </c>
      <c r="L217">
        <v>-318.16833420601898</v>
      </c>
      <c r="M217">
        <v>404.58883282390502</v>
      </c>
      <c r="N217">
        <v>5.2981792739612903</v>
      </c>
      <c r="O217">
        <v>1048.99671195935</v>
      </c>
      <c r="P217">
        <v>11.5053335491755</v>
      </c>
      <c r="Q217">
        <v>7.4746073309974001E-2</v>
      </c>
      <c r="R217">
        <v>-250.17440999999999</v>
      </c>
      <c r="S217">
        <v>-55.81</v>
      </c>
      <c r="T217">
        <f t="shared" si="18"/>
        <v>0</v>
      </c>
      <c r="U217">
        <f t="shared" si="19"/>
        <v>0</v>
      </c>
      <c r="V217">
        <f t="shared" si="20"/>
        <v>0</v>
      </c>
      <c r="W217">
        <f t="shared" si="21"/>
        <v>0</v>
      </c>
      <c r="X217">
        <f t="shared" si="22"/>
        <v>0</v>
      </c>
      <c r="Y217">
        <f t="shared" si="23"/>
        <v>0</v>
      </c>
    </row>
    <row r="218" spans="1:25" hidden="1" x14ac:dyDescent="0.35">
      <c r="A218">
        <v>216</v>
      </c>
      <c r="C218" t="s">
        <v>437</v>
      </c>
      <c r="D218" t="s">
        <v>438</v>
      </c>
      <c r="E218" s="1">
        <v>36424</v>
      </c>
      <c r="F218" t="s">
        <v>24</v>
      </c>
      <c r="G218">
        <v>36200</v>
      </c>
      <c r="H218">
        <v>683.99419980147798</v>
      </c>
      <c r="I218">
        <v>3.4652095563372201</v>
      </c>
      <c r="J218">
        <v>-6.8399419980147798</v>
      </c>
      <c r="K218">
        <v>6.1779999999999999</v>
      </c>
      <c r="L218">
        <v>-783.06558041796404</v>
      </c>
      <c r="M218">
        <v>443.19756393496499</v>
      </c>
      <c r="N218">
        <v>5.9526790158427998</v>
      </c>
      <c r="O218">
        <v>1067.6126468653499</v>
      </c>
      <c r="P218">
        <v>10.720730199755099</v>
      </c>
      <c r="Q218">
        <v>-1.24580078389928</v>
      </c>
      <c r="R218">
        <v>-244.53807</v>
      </c>
      <c r="S218">
        <v>18.93</v>
      </c>
      <c r="T218">
        <f t="shared" si="18"/>
        <v>0</v>
      </c>
      <c r="U218">
        <f t="shared" si="19"/>
        <v>0</v>
      </c>
      <c r="V218">
        <f t="shared" si="20"/>
        <v>0</v>
      </c>
      <c r="W218">
        <f t="shared" si="21"/>
        <v>0</v>
      </c>
      <c r="X218">
        <f t="shared" si="22"/>
        <v>0</v>
      </c>
      <c r="Y218">
        <f t="shared" si="23"/>
        <v>0</v>
      </c>
    </row>
    <row r="219" spans="1:25" hidden="1" x14ac:dyDescent="0.35">
      <c r="A219">
        <v>217</v>
      </c>
      <c r="C219" t="s">
        <v>439</v>
      </c>
      <c r="D219" t="s">
        <v>440</v>
      </c>
      <c r="E219" s="1">
        <v>35832</v>
      </c>
      <c r="F219" t="s">
        <v>24</v>
      </c>
      <c r="G219">
        <v>37464</v>
      </c>
      <c r="H219">
        <v>692.23296479399005</v>
      </c>
      <c r="I219">
        <v>3.10431654807133</v>
      </c>
      <c r="J219">
        <v>-6.9223296479399004</v>
      </c>
      <c r="K219">
        <v>7.1859999999999999</v>
      </c>
      <c r="L219">
        <v>-728.59423567658405</v>
      </c>
      <c r="M219">
        <v>480.24127128205799</v>
      </c>
      <c r="N219">
        <v>8.3293850591752499</v>
      </c>
      <c r="O219">
        <v>1056.30132901149</v>
      </c>
      <c r="P219">
        <v>12.635441649272799</v>
      </c>
      <c r="Q219">
        <v>-0.15127465217859901</v>
      </c>
      <c r="R219">
        <v>-242.82406</v>
      </c>
      <c r="S219">
        <v>9.7200000000000006</v>
      </c>
      <c r="T219">
        <f t="shared" si="18"/>
        <v>0</v>
      </c>
      <c r="U219">
        <f t="shared" si="19"/>
        <v>0</v>
      </c>
      <c r="V219">
        <f t="shared" si="20"/>
        <v>0</v>
      </c>
      <c r="W219">
        <f t="shared" si="21"/>
        <v>0</v>
      </c>
      <c r="X219">
        <f t="shared" si="22"/>
        <v>0</v>
      </c>
      <c r="Y219">
        <f t="shared" si="23"/>
        <v>0</v>
      </c>
    </row>
    <row r="220" spans="1:25" hidden="1" x14ac:dyDescent="0.35">
      <c r="A220">
        <v>218</v>
      </c>
      <c r="C220" t="s">
        <v>441</v>
      </c>
      <c r="D220" t="s">
        <v>442</v>
      </c>
      <c r="E220" s="1">
        <v>36770</v>
      </c>
      <c r="F220" t="s">
        <v>21</v>
      </c>
      <c r="G220">
        <v>68864</v>
      </c>
      <c r="H220">
        <v>567.34550474470598</v>
      </c>
      <c r="I220">
        <v>-2.8768341874736998</v>
      </c>
      <c r="J220">
        <v>-5.6734550474470504</v>
      </c>
      <c r="K220">
        <v>5.0149999999999997</v>
      </c>
      <c r="L220">
        <v>-670.81393633006701</v>
      </c>
      <c r="M220">
        <v>638.21531070316905</v>
      </c>
      <c r="N220">
        <v>-6.9786368903528198</v>
      </c>
      <c r="O220">
        <v>951.98182729056396</v>
      </c>
      <c r="P220">
        <v>2.0978234711778398</v>
      </c>
      <c r="Q220">
        <v>0.22179690766422999</v>
      </c>
      <c r="R220">
        <v>-253.75041999999999</v>
      </c>
      <c r="S220">
        <v>226.94</v>
      </c>
      <c r="T220">
        <f t="shared" si="18"/>
        <v>0</v>
      </c>
      <c r="U220">
        <f t="shared" si="19"/>
        <v>0</v>
      </c>
      <c r="V220">
        <f t="shared" si="20"/>
        <v>0</v>
      </c>
      <c r="W220">
        <f t="shared" si="21"/>
        <v>0</v>
      </c>
      <c r="X220">
        <f t="shared" si="22"/>
        <v>0</v>
      </c>
      <c r="Y220">
        <f t="shared" si="23"/>
        <v>0</v>
      </c>
    </row>
    <row r="221" spans="1:25" hidden="1" x14ac:dyDescent="0.35">
      <c r="A221">
        <v>219</v>
      </c>
      <c r="C221" t="s">
        <v>281</v>
      </c>
      <c r="D221" t="s">
        <v>212</v>
      </c>
      <c r="E221" s="1">
        <v>36261</v>
      </c>
      <c r="F221" t="s">
        <v>24</v>
      </c>
      <c r="G221">
        <v>43064</v>
      </c>
      <c r="H221">
        <v>558.85623538587799</v>
      </c>
      <c r="I221">
        <v>-5.2660876847198903</v>
      </c>
      <c r="J221">
        <v>-5.5885623538587801</v>
      </c>
      <c r="K221">
        <v>4.9390000000000001</v>
      </c>
      <c r="L221">
        <v>-498.46306892826999</v>
      </c>
      <c r="M221">
        <v>583.06339190079302</v>
      </c>
      <c r="N221">
        <v>-4.4178427812712897</v>
      </c>
      <c r="O221">
        <v>952.99818774654295</v>
      </c>
      <c r="P221">
        <v>3.4896694523700602</v>
      </c>
      <c r="Q221">
        <v>0.149606921544649</v>
      </c>
      <c r="R221">
        <v>-253.19364999999999</v>
      </c>
      <c r="S221">
        <v>184.74</v>
      </c>
      <c r="T221">
        <f t="shared" si="18"/>
        <v>0</v>
      </c>
      <c r="U221">
        <f t="shared" si="19"/>
        <v>0</v>
      </c>
      <c r="V221">
        <f t="shared" si="20"/>
        <v>0</v>
      </c>
      <c r="W221">
        <f t="shared" si="21"/>
        <v>0</v>
      </c>
      <c r="X221">
        <f t="shared" si="22"/>
        <v>0</v>
      </c>
      <c r="Y221">
        <f t="shared" si="23"/>
        <v>0</v>
      </c>
    </row>
    <row r="222" spans="1:25" hidden="1" x14ac:dyDescent="0.35">
      <c r="A222">
        <v>220</v>
      </c>
      <c r="C222" t="s">
        <v>443</v>
      </c>
      <c r="D222" t="s">
        <v>444</v>
      </c>
      <c r="E222" s="1">
        <v>36044</v>
      </c>
      <c r="F222" t="s">
        <v>21</v>
      </c>
      <c r="G222">
        <v>48238</v>
      </c>
      <c r="H222">
        <v>248.21839845835001</v>
      </c>
      <c r="I222">
        <v>-4.9386608214291403</v>
      </c>
      <c r="J222">
        <v>-2.4821839845835001</v>
      </c>
      <c r="K222">
        <v>5.7759999999999998</v>
      </c>
      <c r="L222">
        <v>-360.63524469308197</v>
      </c>
      <c r="M222">
        <v>612.25693207692996</v>
      </c>
      <c r="N222">
        <v>-5.8997957357801996</v>
      </c>
      <c r="O222">
        <v>956.96963658803202</v>
      </c>
      <c r="P222">
        <v>1.5628839225606499</v>
      </c>
      <c r="Q222">
        <v>-1.98016753415804</v>
      </c>
      <c r="R222">
        <v>-249.77592000000001</v>
      </c>
      <c r="S222">
        <v>180.73</v>
      </c>
      <c r="T222">
        <f t="shared" si="18"/>
        <v>0</v>
      </c>
      <c r="U222">
        <f t="shared" si="19"/>
        <v>0</v>
      </c>
      <c r="V222">
        <f t="shared" si="20"/>
        <v>0</v>
      </c>
      <c r="W222">
        <f t="shared" si="21"/>
        <v>0</v>
      </c>
      <c r="X222">
        <f t="shared" si="22"/>
        <v>0</v>
      </c>
      <c r="Y222">
        <f t="shared" si="23"/>
        <v>0</v>
      </c>
    </row>
    <row r="223" spans="1:25" hidden="1" x14ac:dyDescent="0.35">
      <c r="A223">
        <v>221</v>
      </c>
      <c r="C223" t="s">
        <v>445</v>
      </c>
      <c r="D223" t="s">
        <v>446</v>
      </c>
      <c r="E223" s="1">
        <v>35521</v>
      </c>
      <c r="F223" t="s">
        <v>24</v>
      </c>
      <c r="G223">
        <v>48579</v>
      </c>
      <c r="H223">
        <v>387.93873905168101</v>
      </c>
      <c r="I223">
        <v>-4.1490476458042096</v>
      </c>
      <c r="J223">
        <v>-3.8793873905168099</v>
      </c>
      <c r="K223">
        <v>5.3920000000000003</v>
      </c>
      <c r="L223">
        <v>-540.54816315252003</v>
      </c>
      <c r="M223">
        <v>620.10270049862902</v>
      </c>
      <c r="N223">
        <v>-6.5025018434021202</v>
      </c>
      <c r="O223">
        <v>955.08854374729503</v>
      </c>
      <c r="P223">
        <v>2.3410478370418502</v>
      </c>
      <c r="Q223">
        <v>0.45471217670912101</v>
      </c>
      <c r="R223">
        <v>-251.33045999999999</v>
      </c>
      <c r="S223">
        <v>213.86</v>
      </c>
      <c r="T223">
        <f t="shared" si="18"/>
        <v>0</v>
      </c>
      <c r="U223">
        <f t="shared" si="19"/>
        <v>0</v>
      </c>
      <c r="V223">
        <f t="shared" si="20"/>
        <v>0</v>
      </c>
      <c r="W223">
        <f t="shared" si="21"/>
        <v>0</v>
      </c>
      <c r="X223">
        <f t="shared" si="22"/>
        <v>0</v>
      </c>
      <c r="Y223">
        <f t="shared" si="23"/>
        <v>0</v>
      </c>
    </row>
    <row r="224" spans="1:25" hidden="1" x14ac:dyDescent="0.35">
      <c r="A224">
        <v>222</v>
      </c>
      <c r="C224" t="s">
        <v>447</v>
      </c>
      <c r="D224" t="s">
        <v>448</v>
      </c>
      <c r="E224" s="1">
        <v>36672</v>
      </c>
      <c r="F224" t="s">
        <v>21</v>
      </c>
      <c r="G224">
        <v>48473</v>
      </c>
      <c r="H224">
        <v>582.94146131635796</v>
      </c>
      <c r="I224">
        <v>6.7972739187274396</v>
      </c>
      <c r="J224">
        <v>-5.8294146131635696</v>
      </c>
      <c r="K224">
        <v>5.0030000000000001</v>
      </c>
      <c r="L224">
        <v>-484.62221712565298</v>
      </c>
      <c r="M224">
        <v>390.62078615456699</v>
      </c>
      <c r="N224">
        <v>4.0878359743915</v>
      </c>
      <c r="O224">
        <v>1045.4839414247699</v>
      </c>
      <c r="P224">
        <v>3.4972137360567701</v>
      </c>
      <c r="Q224">
        <v>1.8117773802069399</v>
      </c>
      <c r="R224">
        <v>-244.32685000000001</v>
      </c>
      <c r="S224">
        <v>18.309999999999999</v>
      </c>
      <c r="T224">
        <f t="shared" si="18"/>
        <v>0</v>
      </c>
      <c r="U224">
        <f t="shared" si="19"/>
        <v>0</v>
      </c>
      <c r="V224">
        <f t="shared" si="20"/>
        <v>0</v>
      </c>
      <c r="W224">
        <f t="shared" si="21"/>
        <v>0</v>
      </c>
      <c r="X224">
        <f t="shared" si="22"/>
        <v>0</v>
      </c>
      <c r="Y224">
        <f t="shared" si="23"/>
        <v>0</v>
      </c>
    </row>
    <row r="225" spans="1:26" hidden="1" x14ac:dyDescent="0.35">
      <c r="A225">
        <v>223</v>
      </c>
      <c r="C225" t="s">
        <v>449</v>
      </c>
      <c r="D225" t="s">
        <v>450</v>
      </c>
      <c r="E225" s="1">
        <v>37197</v>
      </c>
      <c r="F225" t="s">
        <v>21</v>
      </c>
      <c r="G225">
        <v>40680</v>
      </c>
      <c r="H225">
        <v>565.64899355629905</v>
      </c>
      <c r="I225">
        <v>3.2438113357624601</v>
      </c>
      <c r="J225">
        <v>-5.6564899355629903</v>
      </c>
      <c r="K225">
        <v>4.4509999999999996</v>
      </c>
      <c r="L225">
        <v>-236.81240121027</v>
      </c>
      <c r="M225">
        <v>357.04382165717902</v>
      </c>
      <c r="N225">
        <v>9.7122029544253401</v>
      </c>
      <c r="O225">
        <v>1035.9221587295899</v>
      </c>
      <c r="P225">
        <v>6.4474012643495797</v>
      </c>
      <c r="Q225">
        <v>1.4186648299825999</v>
      </c>
      <c r="R225">
        <v>-244.42036999999999</v>
      </c>
      <c r="S225">
        <v>-70.650000000000006</v>
      </c>
      <c r="T225">
        <f t="shared" si="18"/>
        <v>0</v>
      </c>
      <c r="U225">
        <f t="shared" si="19"/>
        <v>0</v>
      </c>
      <c r="V225">
        <f t="shared" si="20"/>
        <v>0</v>
      </c>
      <c r="W225">
        <f t="shared" si="21"/>
        <v>0</v>
      </c>
      <c r="X225">
        <f t="shared" si="22"/>
        <v>0</v>
      </c>
      <c r="Y225">
        <f t="shared" si="23"/>
        <v>0</v>
      </c>
    </row>
    <row r="226" spans="1:26" hidden="1" x14ac:dyDescent="0.35">
      <c r="A226">
        <v>224</v>
      </c>
      <c r="C226" t="s">
        <v>451</v>
      </c>
      <c r="D226" t="s">
        <v>452</v>
      </c>
      <c r="E226" s="1">
        <v>35657</v>
      </c>
      <c r="F226" t="s">
        <v>24</v>
      </c>
      <c r="G226">
        <v>38058</v>
      </c>
      <c r="H226">
        <v>415.98630134084601</v>
      </c>
      <c r="I226">
        <v>-7.4221559863485602</v>
      </c>
      <c r="J226">
        <v>-4.1598630134084598</v>
      </c>
      <c r="K226">
        <v>3.6760000000000002</v>
      </c>
      <c r="L226">
        <v>-491.73045179854898</v>
      </c>
      <c r="M226">
        <v>562.96895437351702</v>
      </c>
      <c r="N226">
        <v>-3.7062751683456101</v>
      </c>
      <c r="O226">
        <v>941.49032143054797</v>
      </c>
      <c r="P226">
        <v>3.5134935940792</v>
      </c>
      <c r="Q226">
        <v>0.50285549939711305</v>
      </c>
      <c r="R226">
        <v>-254.25085000000001</v>
      </c>
      <c r="S226">
        <v>167.4</v>
      </c>
      <c r="T226">
        <f t="shared" si="18"/>
        <v>0</v>
      </c>
      <c r="U226">
        <f t="shared" si="19"/>
        <v>0</v>
      </c>
      <c r="V226">
        <f t="shared" si="20"/>
        <v>0</v>
      </c>
      <c r="W226">
        <f t="shared" si="21"/>
        <v>0</v>
      </c>
      <c r="X226">
        <f t="shared" si="22"/>
        <v>0</v>
      </c>
      <c r="Y226">
        <f t="shared" si="23"/>
        <v>0</v>
      </c>
    </row>
    <row r="227" spans="1:26" hidden="1" x14ac:dyDescent="0.35">
      <c r="A227">
        <v>225</v>
      </c>
      <c r="C227" t="s">
        <v>453</v>
      </c>
      <c r="D227" t="s">
        <v>454</v>
      </c>
      <c r="E227" s="1">
        <v>36331</v>
      </c>
      <c r="F227" t="s">
        <v>24</v>
      </c>
      <c r="G227">
        <v>47052</v>
      </c>
      <c r="H227">
        <v>-583.32416684814905</v>
      </c>
      <c r="I227">
        <v>5.97913657154856</v>
      </c>
      <c r="J227">
        <v>5.8332416684814898</v>
      </c>
      <c r="K227">
        <v>3.9129999999999998</v>
      </c>
      <c r="L227">
        <v>149.70994094374601</v>
      </c>
      <c r="M227">
        <v>586.57674008113804</v>
      </c>
      <c r="N227">
        <v>6.4110081546084903</v>
      </c>
      <c r="O227">
        <v>1029.6725187012801</v>
      </c>
      <c r="P227">
        <v>7.4568554478366202</v>
      </c>
      <c r="Q227">
        <v>-0.198401231344948</v>
      </c>
      <c r="R227">
        <v>-231.13309000000001</v>
      </c>
      <c r="S227">
        <v>17.25</v>
      </c>
      <c r="T227">
        <f t="shared" si="18"/>
        <v>0</v>
      </c>
      <c r="U227">
        <f t="shared" si="19"/>
        <v>0</v>
      </c>
      <c r="V227">
        <f t="shared" si="20"/>
        <v>0</v>
      </c>
      <c r="W227">
        <f t="shared" si="21"/>
        <v>0</v>
      </c>
      <c r="X227">
        <f t="shared" si="22"/>
        <v>0</v>
      </c>
      <c r="Y227">
        <f t="shared" si="23"/>
        <v>0</v>
      </c>
    </row>
    <row r="228" spans="1:26" hidden="1" x14ac:dyDescent="0.35">
      <c r="A228">
        <v>226</v>
      </c>
      <c r="C228" t="s">
        <v>455</v>
      </c>
      <c r="D228" t="s">
        <v>456</v>
      </c>
      <c r="E228" s="1">
        <v>35430</v>
      </c>
      <c r="F228" t="s">
        <v>24</v>
      </c>
      <c r="G228">
        <v>25131</v>
      </c>
      <c r="H228">
        <v>-378.58844428482001</v>
      </c>
      <c r="I228">
        <v>6.4005631345415104</v>
      </c>
      <c r="J228">
        <v>3.7858844428482001</v>
      </c>
      <c r="K228">
        <v>5.3109999999999999</v>
      </c>
      <c r="L228">
        <v>269.37797625719998</v>
      </c>
      <c r="M228">
        <v>579.23379250377695</v>
      </c>
      <c r="N228">
        <v>5.8934578116700802</v>
      </c>
      <c r="O228">
        <v>1051.1933719510901</v>
      </c>
      <c r="P228">
        <v>9.0225906745584901</v>
      </c>
      <c r="Q228">
        <v>0.29813925228145399</v>
      </c>
      <c r="R228">
        <v>-229.86985000000001</v>
      </c>
      <c r="S228">
        <v>33.51</v>
      </c>
      <c r="T228">
        <f t="shared" si="18"/>
        <v>0</v>
      </c>
      <c r="U228">
        <f t="shared" si="19"/>
        <v>0</v>
      </c>
      <c r="V228">
        <f t="shared" si="20"/>
        <v>0</v>
      </c>
      <c r="W228">
        <f t="shared" si="21"/>
        <v>0</v>
      </c>
      <c r="X228">
        <f t="shared" si="22"/>
        <v>0</v>
      </c>
      <c r="Y228">
        <f t="shared" si="23"/>
        <v>0</v>
      </c>
    </row>
    <row r="229" spans="1:26" hidden="1" x14ac:dyDescent="0.35">
      <c r="A229">
        <v>227</v>
      </c>
      <c r="C229" t="s">
        <v>135</v>
      </c>
      <c r="D229" t="s">
        <v>457</v>
      </c>
      <c r="E229" s="1">
        <v>36476</v>
      </c>
      <c r="F229" t="s">
        <v>21</v>
      </c>
      <c r="G229">
        <v>36984</v>
      </c>
      <c r="H229">
        <v>-545.23384886729195</v>
      </c>
      <c r="I229">
        <v>4.1078410416253499</v>
      </c>
      <c r="J229">
        <v>5.4523384886729103</v>
      </c>
      <c r="K229">
        <v>4.9459999999999997</v>
      </c>
      <c r="L229">
        <v>932.776269361338</v>
      </c>
      <c r="M229">
        <v>623.47248501246304</v>
      </c>
      <c r="N229">
        <v>2.6811732209191002</v>
      </c>
      <c r="O229">
        <v>1076.9089651122499</v>
      </c>
      <c r="P229">
        <v>7.5919492829853201</v>
      </c>
      <c r="Q229">
        <v>1.04413922656009</v>
      </c>
      <c r="R229">
        <v>-229.32408000000001</v>
      </c>
      <c r="S229">
        <v>-1.37</v>
      </c>
      <c r="T229">
        <f t="shared" si="18"/>
        <v>0</v>
      </c>
      <c r="U229">
        <f t="shared" si="19"/>
        <v>0</v>
      </c>
      <c r="V229">
        <f t="shared" si="20"/>
        <v>0</v>
      </c>
      <c r="W229">
        <f t="shared" si="21"/>
        <v>0</v>
      </c>
      <c r="X229">
        <f t="shared" si="22"/>
        <v>0</v>
      </c>
      <c r="Y229">
        <f t="shared" si="23"/>
        <v>0</v>
      </c>
    </row>
    <row r="230" spans="1:26" hidden="1" x14ac:dyDescent="0.35">
      <c r="A230">
        <v>228</v>
      </c>
      <c r="C230" t="s">
        <v>458</v>
      </c>
      <c r="D230" t="s">
        <v>459</v>
      </c>
      <c r="E230" s="1">
        <v>36338</v>
      </c>
      <c r="F230" t="s">
        <v>24</v>
      </c>
      <c r="G230">
        <v>40072</v>
      </c>
      <c r="H230">
        <v>373.221163999699</v>
      </c>
      <c r="I230">
        <v>4.2710364026395196</v>
      </c>
      <c r="J230">
        <v>-3.73221163999699</v>
      </c>
      <c r="K230">
        <v>5.0019999999999998</v>
      </c>
      <c r="L230">
        <v>-637.74850292963595</v>
      </c>
      <c r="M230">
        <v>407.28089772455399</v>
      </c>
      <c r="N230">
        <v>4.0385792062709802</v>
      </c>
      <c r="O230">
        <v>1060.20226386785</v>
      </c>
      <c r="P230">
        <v>6.0409931504732199</v>
      </c>
      <c r="Q230">
        <v>0.78461603717615103</v>
      </c>
      <c r="R230">
        <v>-243.56357</v>
      </c>
      <c r="S230">
        <v>9.61</v>
      </c>
      <c r="T230">
        <f t="shared" si="18"/>
        <v>0</v>
      </c>
      <c r="U230">
        <f t="shared" si="19"/>
        <v>0</v>
      </c>
      <c r="V230">
        <f t="shared" si="20"/>
        <v>0</v>
      </c>
      <c r="W230">
        <f t="shared" si="21"/>
        <v>0</v>
      </c>
      <c r="X230">
        <f t="shared" si="22"/>
        <v>0</v>
      </c>
      <c r="Y230">
        <f t="shared" si="23"/>
        <v>0</v>
      </c>
    </row>
    <row r="231" spans="1:26" hidden="1" x14ac:dyDescent="0.35">
      <c r="A231">
        <v>229</v>
      </c>
      <c r="C231" t="s">
        <v>106</v>
      </c>
      <c r="D231" t="s">
        <v>460</v>
      </c>
      <c r="E231" s="1">
        <v>36082</v>
      </c>
      <c r="F231" t="s">
        <v>24</v>
      </c>
      <c r="G231">
        <v>32576</v>
      </c>
      <c r="H231">
        <v>741.281307963426</v>
      </c>
      <c r="I231">
        <v>6.4295653361723897</v>
      </c>
      <c r="J231">
        <v>-7.4128130796342599</v>
      </c>
      <c r="K231">
        <v>3.6</v>
      </c>
      <c r="L231">
        <v>-263.63303596750302</v>
      </c>
      <c r="M231">
        <v>356.19541290751903</v>
      </c>
      <c r="N231">
        <v>5.64138389951228</v>
      </c>
      <c r="O231">
        <v>1029.39179780788</v>
      </c>
      <c r="P231">
        <v>3.9285326254636801</v>
      </c>
      <c r="Q231">
        <v>-0.93868249258572101</v>
      </c>
      <c r="R231">
        <v>-245.74332999999999</v>
      </c>
      <c r="S231">
        <v>19.239999999999998</v>
      </c>
      <c r="T231">
        <f t="shared" si="18"/>
        <v>0</v>
      </c>
      <c r="U231">
        <f t="shared" si="19"/>
        <v>0</v>
      </c>
      <c r="V231">
        <f t="shared" si="20"/>
        <v>0</v>
      </c>
      <c r="W231">
        <f t="shared" si="21"/>
        <v>0</v>
      </c>
      <c r="X231">
        <f t="shared" si="22"/>
        <v>0</v>
      </c>
      <c r="Y231">
        <f t="shared" si="23"/>
        <v>0</v>
      </c>
    </row>
    <row r="232" spans="1:26" hidden="1" x14ac:dyDescent="0.35">
      <c r="A232">
        <v>230</v>
      </c>
      <c r="C232" t="s">
        <v>461</v>
      </c>
      <c r="D232" t="s">
        <v>462</v>
      </c>
      <c r="E232" s="1">
        <v>36974</v>
      </c>
      <c r="F232" t="s">
        <v>21</v>
      </c>
      <c r="G232">
        <v>45793</v>
      </c>
      <c r="H232">
        <v>494.89835795064897</v>
      </c>
      <c r="I232">
        <v>-5.8503877066370498</v>
      </c>
      <c r="J232">
        <v>-4.94898357950649</v>
      </c>
      <c r="K232">
        <v>5.3949999999999996</v>
      </c>
      <c r="L232">
        <v>-234.02945473184801</v>
      </c>
      <c r="M232">
        <v>568.81689411816706</v>
      </c>
      <c r="N232">
        <v>-4.0288313482353004</v>
      </c>
      <c r="O232">
        <v>947.58029957589599</v>
      </c>
      <c r="P232">
        <v>1.55046210891297</v>
      </c>
      <c r="Q232">
        <v>0.57690399186693697</v>
      </c>
      <c r="R232">
        <v>-252.3468</v>
      </c>
      <c r="S232">
        <v>151.62</v>
      </c>
      <c r="T232">
        <f t="shared" si="18"/>
        <v>0</v>
      </c>
      <c r="U232">
        <f t="shared" si="19"/>
        <v>0</v>
      </c>
      <c r="V232">
        <f t="shared" si="20"/>
        <v>0</v>
      </c>
      <c r="W232">
        <f t="shared" si="21"/>
        <v>0</v>
      </c>
      <c r="X232">
        <f t="shared" si="22"/>
        <v>0</v>
      </c>
      <c r="Y232">
        <f t="shared" si="23"/>
        <v>0</v>
      </c>
    </row>
    <row r="233" spans="1:26" x14ac:dyDescent="0.35">
      <c r="A233">
        <v>231</v>
      </c>
      <c r="C233" t="s">
        <v>463</v>
      </c>
      <c r="D233" t="s">
        <v>464</v>
      </c>
      <c r="E233" s="1">
        <v>35524</v>
      </c>
      <c r="F233" t="s">
        <v>21</v>
      </c>
      <c r="G233">
        <v>52220</v>
      </c>
      <c r="H233">
        <v>343.54216795679901</v>
      </c>
      <c r="J233">
        <v>-3.4354216795679902</v>
      </c>
      <c r="K233">
        <v>4.9610000000000003</v>
      </c>
      <c r="L233">
        <v>-337.175946062572</v>
      </c>
      <c r="M233">
        <v>357.98866879478197</v>
      </c>
      <c r="N233">
        <v>7.2123784841365302</v>
      </c>
      <c r="O233">
        <v>1043.5197194633199</v>
      </c>
      <c r="P233">
        <v>3.2138643163934999</v>
      </c>
      <c r="Q233">
        <v>-0.15543410590172499</v>
      </c>
      <c r="R233">
        <v>-242.72322</v>
      </c>
      <c r="S233">
        <v>-62.14</v>
      </c>
      <c r="T233">
        <f t="shared" si="18"/>
        <v>1</v>
      </c>
      <c r="U233">
        <f t="shared" si="19"/>
        <v>0</v>
      </c>
      <c r="V233">
        <f t="shared" si="20"/>
        <v>0</v>
      </c>
      <c r="W233">
        <f t="shared" si="21"/>
        <v>0</v>
      </c>
      <c r="X233">
        <f t="shared" si="22"/>
        <v>0</v>
      </c>
      <c r="Y233">
        <f t="shared" si="23"/>
        <v>1</v>
      </c>
      <c r="Z233">
        <f>SUM(T233:X233)</f>
        <v>1</v>
      </c>
    </row>
    <row r="234" spans="1:26" hidden="1" x14ac:dyDescent="0.35">
      <c r="A234">
        <v>232</v>
      </c>
      <c r="C234" t="s">
        <v>399</v>
      </c>
      <c r="D234" t="s">
        <v>465</v>
      </c>
      <c r="E234" s="1">
        <v>36188</v>
      </c>
      <c r="F234" t="s">
        <v>24</v>
      </c>
      <c r="G234">
        <v>20471</v>
      </c>
      <c r="H234">
        <v>-661.96986371060996</v>
      </c>
      <c r="I234">
        <v>-6.49976543947861</v>
      </c>
      <c r="J234">
        <v>6.6196986371061</v>
      </c>
      <c r="K234">
        <v>-2.5870000000000002</v>
      </c>
      <c r="L234">
        <v>-614.39812642751997</v>
      </c>
      <c r="M234">
        <v>377.37937162086303</v>
      </c>
      <c r="N234">
        <v>8.6201093781525895</v>
      </c>
      <c r="O234">
        <v>1060.4011836644599</v>
      </c>
      <c r="P234">
        <v>12.621318995583801</v>
      </c>
      <c r="Q234">
        <v>0.817930974499811</v>
      </c>
      <c r="R234">
        <v>-245.15636000000001</v>
      </c>
      <c r="S234">
        <v>-107.39</v>
      </c>
      <c r="T234">
        <f t="shared" si="18"/>
        <v>0</v>
      </c>
      <c r="U234">
        <f t="shared" si="19"/>
        <v>0</v>
      </c>
      <c r="V234">
        <f t="shared" si="20"/>
        <v>0</v>
      </c>
      <c r="W234">
        <f t="shared" si="21"/>
        <v>0</v>
      </c>
      <c r="X234">
        <f t="shared" si="22"/>
        <v>0</v>
      </c>
      <c r="Y234">
        <f t="shared" si="23"/>
        <v>0</v>
      </c>
    </row>
    <row r="235" spans="1:26" hidden="1" x14ac:dyDescent="0.35">
      <c r="A235">
        <v>233</v>
      </c>
      <c r="C235" t="s">
        <v>466</v>
      </c>
      <c r="D235" t="s">
        <v>467</v>
      </c>
      <c r="E235" s="1">
        <v>36728</v>
      </c>
      <c r="F235" t="s">
        <v>24</v>
      </c>
      <c r="G235">
        <v>48079</v>
      </c>
      <c r="H235">
        <v>-544.641752390085</v>
      </c>
      <c r="I235">
        <v>3.5047131878851201</v>
      </c>
      <c r="J235">
        <v>5.4464175239008501</v>
      </c>
      <c r="K235">
        <v>4.4939999999999998</v>
      </c>
      <c r="L235">
        <v>424.661044817993</v>
      </c>
      <c r="M235">
        <v>566.424774160673</v>
      </c>
      <c r="N235">
        <v>6.0108040125562896</v>
      </c>
      <c r="O235">
        <v>1054.2046472714701</v>
      </c>
      <c r="P235">
        <v>7.3899756310096096</v>
      </c>
      <c r="Q235">
        <v>1.6050641122165801</v>
      </c>
      <c r="R235">
        <v>-231.91795999999999</v>
      </c>
      <c r="S235">
        <v>-37.85</v>
      </c>
      <c r="T235">
        <f t="shared" si="18"/>
        <v>0</v>
      </c>
      <c r="U235">
        <f t="shared" si="19"/>
        <v>0</v>
      </c>
      <c r="V235">
        <f t="shared" si="20"/>
        <v>0</v>
      </c>
      <c r="W235">
        <f t="shared" si="21"/>
        <v>0</v>
      </c>
      <c r="X235">
        <f t="shared" si="22"/>
        <v>0</v>
      </c>
      <c r="Y235">
        <f t="shared" si="23"/>
        <v>0</v>
      </c>
    </row>
    <row r="236" spans="1:26" hidden="1" x14ac:dyDescent="0.35">
      <c r="A236">
        <v>234</v>
      </c>
      <c r="C236" t="s">
        <v>431</v>
      </c>
      <c r="D236" t="s">
        <v>468</v>
      </c>
      <c r="E236" s="1">
        <v>36278</v>
      </c>
      <c r="F236" t="s">
        <v>24</v>
      </c>
      <c r="G236">
        <v>27792</v>
      </c>
      <c r="H236">
        <v>640.993147383527</v>
      </c>
      <c r="I236">
        <v>7.5189165094090402</v>
      </c>
      <c r="J236">
        <v>-6.40993147383527</v>
      </c>
      <c r="K236">
        <v>6.7149999999999999</v>
      </c>
      <c r="L236">
        <v>-519.69004108509603</v>
      </c>
      <c r="M236">
        <v>415.510286861824</v>
      </c>
      <c r="N236">
        <v>2.5647044014040499</v>
      </c>
      <c r="O236">
        <v>1040.8903360675599</v>
      </c>
      <c r="P236">
        <v>3.76556530245721</v>
      </c>
      <c r="Q236">
        <v>-0.54240943014501197</v>
      </c>
      <c r="R236">
        <v>-242.21502000000001</v>
      </c>
      <c r="S236">
        <v>77.56</v>
      </c>
      <c r="T236">
        <f t="shared" si="18"/>
        <v>0</v>
      </c>
      <c r="U236">
        <f t="shared" si="19"/>
        <v>0</v>
      </c>
      <c r="V236">
        <f t="shared" si="20"/>
        <v>0</v>
      </c>
      <c r="W236">
        <f t="shared" si="21"/>
        <v>0</v>
      </c>
      <c r="X236">
        <f t="shared" si="22"/>
        <v>0</v>
      </c>
      <c r="Y236">
        <f t="shared" si="23"/>
        <v>0</v>
      </c>
    </row>
    <row r="237" spans="1:26" hidden="1" x14ac:dyDescent="0.35">
      <c r="A237">
        <v>235</v>
      </c>
      <c r="C237" t="s">
        <v>469</v>
      </c>
      <c r="D237" t="s">
        <v>56</v>
      </c>
      <c r="E237" s="1">
        <v>36297</v>
      </c>
      <c r="F237" t="s">
        <v>21</v>
      </c>
      <c r="G237">
        <v>23061</v>
      </c>
      <c r="H237">
        <v>766.79506822577503</v>
      </c>
      <c r="I237">
        <v>6.2311653260318502</v>
      </c>
      <c r="J237">
        <v>-7.6679506822577501</v>
      </c>
      <c r="K237">
        <v>4.5979999999999999</v>
      </c>
      <c r="L237">
        <v>-185.70217090545799</v>
      </c>
      <c r="M237">
        <v>368.513855763523</v>
      </c>
      <c r="N237">
        <v>6.2018556655512898</v>
      </c>
      <c r="O237">
        <v>1020.2343359435999</v>
      </c>
      <c r="P237">
        <v>4.3001429993620999</v>
      </c>
      <c r="Q237">
        <v>0.73376692190904702</v>
      </c>
      <c r="R237">
        <v>-244.36499000000001</v>
      </c>
      <c r="S237">
        <v>29.9</v>
      </c>
      <c r="T237">
        <f t="shared" si="18"/>
        <v>0</v>
      </c>
      <c r="U237">
        <f t="shared" si="19"/>
        <v>0</v>
      </c>
      <c r="V237">
        <f t="shared" si="20"/>
        <v>0</v>
      </c>
      <c r="W237">
        <f t="shared" si="21"/>
        <v>0</v>
      </c>
      <c r="X237">
        <f t="shared" si="22"/>
        <v>0</v>
      </c>
      <c r="Y237">
        <f t="shared" si="23"/>
        <v>0</v>
      </c>
    </row>
    <row r="238" spans="1:26" hidden="1" x14ac:dyDescent="0.35">
      <c r="A238">
        <v>236</v>
      </c>
      <c r="C238" t="s">
        <v>470</v>
      </c>
      <c r="D238" t="s">
        <v>471</v>
      </c>
      <c r="E238" s="1">
        <v>37033</v>
      </c>
      <c r="F238" t="s">
        <v>24</v>
      </c>
      <c r="G238">
        <v>40193</v>
      </c>
      <c r="H238">
        <v>524.51816739558103</v>
      </c>
      <c r="I238">
        <v>6.0014770071638104</v>
      </c>
      <c r="J238">
        <v>-5.2451816739558002</v>
      </c>
      <c r="K238">
        <v>6.1660000000000004</v>
      </c>
      <c r="L238">
        <v>-584.50510745001498</v>
      </c>
      <c r="M238">
        <v>430.48412703003299</v>
      </c>
      <c r="N238">
        <v>6.4458972620717496</v>
      </c>
      <c r="O238">
        <v>1047.6310585911301</v>
      </c>
      <c r="P238">
        <v>7.2450362537695501</v>
      </c>
      <c r="Q238">
        <v>0.48507749145975898</v>
      </c>
      <c r="R238">
        <v>-241.77277000000001</v>
      </c>
      <c r="S238">
        <v>15.59</v>
      </c>
      <c r="T238">
        <f t="shared" si="18"/>
        <v>0</v>
      </c>
      <c r="U238">
        <f t="shared" si="19"/>
        <v>0</v>
      </c>
      <c r="V238">
        <f t="shared" si="20"/>
        <v>0</v>
      </c>
      <c r="W238">
        <f t="shared" si="21"/>
        <v>0</v>
      </c>
      <c r="X238">
        <f t="shared" si="22"/>
        <v>0</v>
      </c>
      <c r="Y238">
        <f t="shared" si="23"/>
        <v>0</v>
      </c>
    </row>
    <row r="239" spans="1:26" hidden="1" x14ac:dyDescent="0.35">
      <c r="A239">
        <v>237</v>
      </c>
      <c r="C239" t="s">
        <v>472</v>
      </c>
      <c r="D239" t="s">
        <v>473</v>
      </c>
      <c r="E239" s="1">
        <v>36082</v>
      </c>
      <c r="F239" t="s">
        <v>21</v>
      </c>
      <c r="G239">
        <v>51040</v>
      </c>
      <c r="H239">
        <v>-574.17078661708695</v>
      </c>
      <c r="I239">
        <v>-4.7062061412930296</v>
      </c>
      <c r="J239">
        <v>5.74170786617087</v>
      </c>
      <c r="K239">
        <v>-4.4660000000000002</v>
      </c>
      <c r="L239">
        <v>-634.05163936705105</v>
      </c>
      <c r="M239">
        <v>366.43872103612102</v>
      </c>
      <c r="N239">
        <v>4.7167661848653202</v>
      </c>
      <c r="O239">
        <v>1065.29022410026</v>
      </c>
      <c r="P239">
        <v>8.5158888711804206</v>
      </c>
      <c r="Q239">
        <v>-0.248628937546715</v>
      </c>
      <c r="R239">
        <v>-249.45599000000001</v>
      </c>
      <c r="S239">
        <v>-93</v>
      </c>
      <c r="T239">
        <f t="shared" si="18"/>
        <v>0</v>
      </c>
      <c r="U239">
        <f t="shared" si="19"/>
        <v>0</v>
      </c>
      <c r="V239">
        <f t="shared" si="20"/>
        <v>0</v>
      </c>
      <c r="W239">
        <f t="shared" si="21"/>
        <v>0</v>
      </c>
      <c r="X239">
        <f t="shared" si="22"/>
        <v>0</v>
      </c>
      <c r="Y239">
        <f t="shared" si="23"/>
        <v>0</v>
      </c>
    </row>
    <row r="240" spans="1:26" hidden="1" x14ac:dyDescent="0.35">
      <c r="A240">
        <v>238</v>
      </c>
      <c r="C240" t="s">
        <v>474</v>
      </c>
      <c r="D240" t="s">
        <v>475</v>
      </c>
      <c r="E240" s="1">
        <v>36584</v>
      </c>
      <c r="F240" t="s">
        <v>24</v>
      </c>
      <c r="G240">
        <v>43498</v>
      </c>
      <c r="H240">
        <v>671.64817136112697</v>
      </c>
      <c r="I240">
        <v>-4.1183820755769904</v>
      </c>
      <c r="J240">
        <v>-6.7164817136112704</v>
      </c>
      <c r="K240">
        <v>5.4119999999999999</v>
      </c>
      <c r="L240">
        <v>-710.80293695410603</v>
      </c>
      <c r="M240">
        <v>597.21769016017299</v>
      </c>
      <c r="N240">
        <v>-6.0459610655156899</v>
      </c>
      <c r="O240">
        <v>926.81427755690595</v>
      </c>
      <c r="P240">
        <v>1.7825912291874599</v>
      </c>
      <c r="Q240">
        <v>-1.3594523906472</v>
      </c>
      <c r="R240">
        <v>-254.41485</v>
      </c>
      <c r="S240">
        <v>245.95</v>
      </c>
      <c r="T240">
        <f t="shared" si="18"/>
        <v>0</v>
      </c>
      <c r="U240">
        <f t="shared" si="19"/>
        <v>0</v>
      </c>
      <c r="V240">
        <f t="shared" si="20"/>
        <v>0</v>
      </c>
      <c r="W240">
        <f t="shared" si="21"/>
        <v>0</v>
      </c>
      <c r="X240">
        <f t="shared" si="22"/>
        <v>0</v>
      </c>
      <c r="Y240">
        <f t="shared" si="23"/>
        <v>0</v>
      </c>
    </row>
    <row r="241" spans="1:26" x14ac:dyDescent="0.35">
      <c r="A241">
        <v>239</v>
      </c>
      <c r="C241" t="s">
        <v>476</v>
      </c>
      <c r="D241" t="s">
        <v>477</v>
      </c>
      <c r="E241" s="1">
        <v>36317</v>
      </c>
      <c r="F241" t="s">
        <v>21</v>
      </c>
      <c r="G241">
        <v>56145</v>
      </c>
      <c r="H241">
        <v>319.97989181852699</v>
      </c>
      <c r="I241">
        <v>-8.4789216707174706</v>
      </c>
      <c r="J241" s="4">
        <f>-H241/100</f>
        <v>-3.19979891818527</v>
      </c>
      <c r="K241">
        <v>2.524</v>
      </c>
      <c r="L241">
        <v>-690.92884634357097</v>
      </c>
      <c r="M241">
        <v>542.76565778441898</v>
      </c>
      <c r="N241">
        <v>-5.24296502249</v>
      </c>
      <c r="O241">
        <v>906.93205049649998</v>
      </c>
      <c r="Q241">
        <v>-0.78860980400486602</v>
      </c>
      <c r="R241">
        <v>-257.92025000000001</v>
      </c>
      <c r="S241">
        <v>175.63</v>
      </c>
      <c r="T241">
        <f t="shared" si="18"/>
        <v>0</v>
      </c>
      <c r="U241">
        <f t="shared" si="19"/>
        <v>0</v>
      </c>
      <c r="V241">
        <f t="shared" si="20"/>
        <v>1</v>
      </c>
      <c r="W241">
        <f t="shared" si="21"/>
        <v>0</v>
      </c>
      <c r="X241">
        <f t="shared" si="22"/>
        <v>0</v>
      </c>
      <c r="Y241">
        <f t="shared" si="23"/>
        <v>1</v>
      </c>
      <c r="Z241">
        <f>SUM(T241:X241)</f>
        <v>1</v>
      </c>
    </row>
    <row r="242" spans="1:26" hidden="1" x14ac:dyDescent="0.35">
      <c r="A242">
        <v>240</v>
      </c>
      <c r="C242" t="s">
        <v>478</v>
      </c>
      <c r="D242" t="s">
        <v>81</v>
      </c>
      <c r="E242" s="1">
        <v>35589</v>
      </c>
      <c r="F242" t="s">
        <v>21</v>
      </c>
      <c r="G242">
        <v>63239</v>
      </c>
      <c r="H242">
        <v>554.62114140374399</v>
      </c>
      <c r="I242">
        <v>1.6394509703287601</v>
      </c>
      <c r="J242">
        <v>-5.5462114140374403</v>
      </c>
      <c r="K242">
        <v>6.8150000000000004</v>
      </c>
      <c r="L242">
        <v>-670.32190907843597</v>
      </c>
      <c r="M242">
        <v>410.51505957709298</v>
      </c>
      <c r="N242">
        <v>4.1197406747993401</v>
      </c>
      <c r="O242">
        <v>1073.28465156739</v>
      </c>
      <c r="P242">
        <v>5.9552460483290997</v>
      </c>
      <c r="Q242">
        <v>-1.7649462171630701</v>
      </c>
      <c r="R242">
        <v>-246.35342</v>
      </c>
      <c r="S242">
        <v>-46.23</v>
      </c>
      <c r="T242">
        <f t="shared" si="18"/>
        <v>0</v>
      </c>
      <c r="U242">
        <f t="shared" si="19"/>
        <v>0</v>
      </c>
      <c r="V242">
        <f t="shared" si="20"/>
        <v>0</v>
      </c>
      <c r="W242">
        <f t="shared" si="21"/>
        <v>0</v>
      </c>
      <c r="X242">
        <f t="shared" si="22"/>
        <v>0</v>
      </c>
      <c r="Y242">
        <f t="shared" si="23"/>
        <v>0</v>
      </c>
    </row>
    <row r="243" spans="1:26" hidden="1" x14ac:dyDescent="0.35">
      <c r="A243">
        <v>241</v>
      </c>
      <c r="C243" t="s">
        <v>479</v>
      </c>
      <c r="D243" t="s">
        <v>480</v>
      </c>
      <c r="E243" s="1">
        <v>36451</v>
      </c>
      <c r="F243" t="s">
        <v>24</v>
      </c>
      <c r="G243">
        <v>37917</v>
      </c>
      <c r="H243">
        <v>541.444640709282</v>
      </c>
      <c r="I243">
        <v>-2.55719317809569</v>
      </c>
      <c r="J243">
        <v>-5.4144464070928198</v>
      </c>
      <c r="K243">
        <v>7.1520000000000001</v>
      </c>
      <c r="L243">
        <v>-288.92910576687802</v>
      </c>
      <c r="M243">
        <v>664.67586586025902</v>
      </c>
      <c r="N243">
        <v>-4.7562937899717497</v>
      </c>
      <c r="O243">
        <v>983.80136214757101</v>
      </c>
      <c r="P243">
        <v>6.32527164703734</v>
      </c>
      <c r="Q243">
        <v>-0.152068969414941</v>
      </c>
      <c r="R243">
        <v>-247.31316000000001</v>
      </c>
      <c r="S243">
        <v>209.84</v>
      </c>
      <c r="T243">
        <f t="shared" si="18"/>
        <v>0</v>
      </c>
      <c r="U243">
        <f t="shared" si="19"/>
        <v>0</v>
      </c>
      <c r="V243">
        <f t="shared" si="20"/>
        <v>0</v>
      </c>
      <c r="W243">
        <f t="shared" si="21"/>
        <v>0</v>
      </c>
      <c r="X243">
        <f t="shared" si="22"/>
        <v>0</v>
      </c>
      <c r="Y243">
        <f t="shared" si="23"/>
        <v>0</v>
      </c>
    </row>
    <row r="244" spans="1:26" hidden="1" x14ac:dyDescent="0.35">
      <c r="A244">
        <v>242</v>
      </c>
      <c r="C244" t="s">
        <v>481</v>
      </c>
      <c r="D244" t="s">
        <v>482</v>
      </c>
      <c r="E244" s="1">
        <v>36972</v>
      </c>
      <c r="F244" t="s">
        <v>21</v>
      </c>
      <c r="G244">
        <v>72859</v>
      </c>
      <c r="H244">
        <v>138.86634593828799</v>
      </c>
      <c r="I244">
        <v>4.63033401571606</v>
      </c>
      <c r="J244">
        <v>-1.3886634593828799</v>
      </c>
      <c r="K244">
        <v>4.4729999999999999</v>
      </c>
      <c r="L244">
        <v>-478.73641964966703</v>
      </c>
      <c r="M244">
        <v>357.82782395965199</v>
      </c>
      <c r="N244">
        <v>2.87938637156899</v>
      </c>
      <c r="O244">
        <v>1060.8442382307401</v>
      </c>
      <c r="P244">
        <v>-0.103000086819081</v>
      </c>
      <c r="Q244">
        <v>0.72824425490607203</v>
      </c>
      <c r="R244">
        <v>-244.37574000000001</v>
      </c>
      <c r="S244">
        <v>-61.72</v>
      </c>
      <c r="T244">
        <f t="shared" si="18"/>
        <v>0</v>
      </c>
      <c r="U244">
        <f t="shared" si="19"/>
        <v>0</v>
      </c>
      <c r="V244">
        <f t="shared" si="20"/>
        <v>0</v>
      </c>
      <c r="W244">
        <f t="shared" si="21"/>
        <v>0</v>
      </c>
      <c r="X244">
        <f t="shared" si="22"/>
        <v>0</v>
      </c>
      <c r="Y244">
        <f t="shared" si="23"/>
        <v>0</v>
      </c>
    </row>
    <row r="245" spans="1:26" hidden="1" x14ac:dyDescent="0.35">
      <c r="A245">
        <v>243</v>
      </c>
      <c r="C245" t="s">
        <v>121</v>
      </c>
      <c r="D245" t="s">
        <v>280</v>
      </c>
      <c r="E245" s="1">
        <v>36900</v>
      </c>
      <c r="F245" t="s">
        <v>24</v>
      </c>
      <c r="G245">
        <v>29600</v>
      </c>
      <c r="H245">
        <v>541.04273476604897</v>
      </c>
      <c r="I245">
        <v>6.2999993910104699</v>
      </c>
      <c r="J245">
        <v>-5.41042734766049</v>
      </c>
      <c r="K245">
        <v>6.0819999999999999</v>
      </c>
      <c r="L245">
        <v>-581.62712334916296</v>
      </c>
      <c r="M245">
        <v>445.00688393842501</v>
      </c>
      <c r="N245">
        <v>2.22766913746156</v>
      </c>
      <c r="O245">
        <v>1045.10334819645</v>
      </c>
      <c r="P245">
        <v>5.41116919340549</v>
      </c>
      <c r="Q245">
        <v>0.79837130868938799</v>
      </c>
      <c r="R245">
        <v>-242.50967</v>
      </c>
      <c r="S245">
        <v>83.34</v>
      </c>
      <c r="T245">
        <f t="shared" si="18"/>
        <v>0</v>
      </c>
      <c r="U245">
        <f t="shared" si="19"/>
        <v>0</v>
      </c>
      <c r="V245">
        <f t="shared" si="20"/>
        <v>0</v>
      </c>
      <c r="W245">
        <f t="shared" si="21"/>
        <v>0</v>
      </c>
      <c r="X245">
        <f t="shared" si="22"/>
        <v>0</v>
      </c>
      <c r="Y245">
        <f t="shared" si="23"/>
        <v>0</v>
      </c>
    </row>
    <row r="246" spans="1:26" hidden="1" x14ac:dyDescent="0.35">
      <c r="A246">
        <v>244</v>
      </c>
      <c r="C246" t="s">
        <v>483</v>
      </c>
      <c r="D246" t="s">
        <v>484</v>
      </c>
      <c r="E246" s="1">
        <v>35567</v>
      </c>
      <c r="F246" t="s">
        <v>21</v>
      </c>
      <c r="G246">
        <v>46447</v>
      </c>
      <c r="H246">
        <v>286.35931191934401</v>
      </c>
      <c r="I246">
        <v>-4.04919077292121</v>
      </c>
      <c r="J246">
        <v>-2.8635931191934398</v>
      </c>
      <c r="K246">
        <v>7.3339999999999996</v>
      </c>
      <c r="L246">
        <v>-427.08687975120699</v>
      </c>
      <c r="M246">
        <v>587.10688151654801</v>
      </c>
      <c r="N246">
        <v>-5.77963839305633</v>
      </c>
      <c r="O246">
        <v>963.11137139811603</v>
      </c>
      <c r="P246">
        <v>0.35602168415610802</v>
      </c>
      <c r="Q246">
        <v>-0.26765588265470502</v>
      </c>
      <c r="R246">
        <v>-248.59687</v>
      </c>
      <c r="S246">
        <v>169.16</v>
      </c>
      <c r="T246">
        <f t="shared" si="18"/>
        <v>0</v>
      </c>
      <c r="U246">
        <f t="shared" si="19"/>
        <v>0</v>
      </c>
      <c r="V246">
        <f t="shared" si="20"/>
        <v>0</v>
      </c>
      <c r="W246">
        <f t="shared" si="21"/>
        <v>0</v>
      </c>
      <c r="X246">
        <f t="shared" si="22"/>
        <v>0</v>
      </c>
      <c r="Y246">
        <f t="shared" si="23"/>
        <v>0</v>
      </c>
    </row>
    <row r="247" spans="1:26" hidden="1" x14ac:dyDescent="0.35">
      <c r="A247">
        <v>245</v>
      </c>
      <c r="C247" t="s">
        <v>485</v>
      </c>
      <c r="D247" t="s">
        <v>486</v>
      </c>
      <c r="E247" s="1">
        <v>36671</v>
      </c>
      <c r="F247" t="s">
        <v>21</v>
      </c>
      <c r="G247">
        <v>52599</v>
      </c>
      <c r="H247">
        <v>679.75969547275304</v>
      </c>
      <c r="I247">
        <v>-4.6935317903877198</v>
      </c>
      <c r="J247">
        <v>-6.7975969547275303</v>
      </c>
      <c r="K247">
        <v>5.0759999999999996</v>
      </c>
      <c r="L247">
        <v>-298.04934093199199</v>
      </c>
      <c r="M247">
        <v>606.61995185988701</v>
      </c>
      <c r="N247">
        <v>-5.2637493415121996</v>
      </c>
      <c r="O247">
        <v>931.94987015687195</v>
      </c>
      <c r="P247">
        <v>1.5467141136962701</v>
      </c>
      <c r="Q247">
        <v>5.3059422475647398E-2</v>
      </c>
      <c r="R247">
        <v>-254.12502000000001</v>
      </c>
      <c r="S247">
        <v>204.36</v>
      </c>
      <c r="T247">
        <f t="shared" si="18"/>
        <v>0</v>
      </c>
      <c r="U247">
        <f t="shared" si="19"/>
        <v>0</v>
      </c>
      <c r="V247">
        <f t="shared" si="20"/>
        <v>0</v>
      </c>
      <c r="W247">
        <f t="shared" si="21"/>
        <v>0</v>
      </c>
      <c r="X247">
        <f t="shared" si="22"/>
        <v>0</v>
      </c>
      <c r="Y247">
        <f t="shared" si="23"/>
        <v>0</v>
      </c>
    </row>
    <row r="248" spans="1:26" hidden="1" x14ac:dyDescent="0.35">
      <c r="A248">
        <v>246</v>
      </c>
      <c r="C248" t="s">
        <v>487</v>
      </c>
      <c r="D248" t="s">
        <v>488</v>
      </c>
      <c r="E248" s="1">
        <v>36857</v>
      </c>
      <c r="F248" t="s">
        <v>24</v>
      </c>
      <c r="G248">
        <v>22427</v>
      </c>
      <c r="H248">
        <v>-544.42217030270899</v>
      </c>
      <c r="I248">
        <v>5.3006861288060501</v>
      </c>
      <c r="J248">
        <v>5.4442217030270896</v>
      </c>
      <c r="K248">
        <v>3.58</v>
      </c>
      <c r="L248">
        <v>152.47079941720099</v>
      </c>
      <c r="M248">
        <v>566.57090342011099</v>
      </c>
      <c r="N248">
        <v>7.1505093055527196</v>
      </c>
      <c r="O248">
        <v>1045.0298801511201</v>
      </c>
      <c r="P248">
        <v>10.1839082946496</v>
      </c>
      <c r="Q248">
        <v>8.27429718973028E-2</v>
      </c>
      <c r="R248">
        <v>-230.48939999999999</v>
      </c>
      <c r="S248">
        <v>22.1</v>
      </c>
      <c r="T248">
        <f t="shared" si="18"/>
        <v>0</v>
      </c>
      <c r="U248">
        <f t="shared" si="19"/>
        <v>0</v>
      </c>
      <c r="V248">
        <f t="shared" si="20"/>
        <v>0</v>
      </c>
      <c r="W248">
        <f t="shared" si="21"/>
        <v>0</v>
      </c>
      <c r="X248">
        <f t="shared" si="22"/>
        <v>0</v>
      </c>
      <c r="Y248">
        <f t="shared" si="23"/>
        <v>0</v>
      </c>
    </row>
    <row r="249" spans="1:26" hidden="1" x14ac:dyDescent="0.35">
      <c r="A249">
        <v>247</v>
      </c>
      <c r="C249" t="s">
        <v>489</v>
      </c>
      <c r="D249" t="s">
        <v>490</v>
      </c>
      <c r="E249" s="1">
        <v>35652</v>
      </c>
      <c r="F249" t="s">
        <v>21</v>
      </c>
      <c r="G249">
        <v>48405</v>
      </c>
      <c r="H249">
        <v>-390.579785253343</v>
      </c>
      <c r="I249">
        <v>4.1281205802489396</v>
      </c>
      <c r="J249">
        <v>3.9057978525334298</v>
      </c>
      <c r="K249">
        <v>4.6749999999999998</v>
      </c>
      <c r="L249">
        <v>274.00021678085301</v>
      </c>
      <c r="M249">
        <v>558.53774648427498</v>
      </c>
      <c r="N249">
        <v>4.7622371700534902</v>
      </c>
      <c r="O249">
        <v>1039.1033212013899</v>
      </c>
      <c r="P249">
        <v>5.9486484915951197</v>
      </c>
      <c r="Q249">
        <v>6.0988533809425095E-4</v>
      </c>
      <c r="R249">
        <v>-233.85939999999999</v>
      </c>
      <c r="S249">
        <v>-1.67</v>
      </c>
      <c r="T249">
        <f t="shared" si="18"/>
        <v>0</v>
      </c>
      <c r="U249">
        <f t="shared" si="19"/>
        <v>0</v>
      </c>
      <c r="V249">
        <f t="shared" si="20"/>
        <v>0</v>
      </c>
      <c r="W249">
        <f t="shared" si="21"/>
        <v>0</v>
      </c>
      <c r="X249">
        <f t="shared" si="22"/>
        <v>0</v>
      </c>
      <c r="Y249">
        <f t="shared" si="23"/>
        <v>0</v>
      </c>
    </row>
    <row r="250" spans="1:26" x14ac:dyDescent="0.35">
      <c r="A250">
        <v>248</v>
      </c>
      <c r="C250" t="s">
        <v>491</v>
      </c>
      <c r="D250" t="s">
        <v>492</v>
      </c>
      <c r="E250" s="1">
        <v>37177</v>
      </c>
      <c r="F250" t="s">
        <v>21</v>
      </c>
      <c r="G250">
        <v>59880</v>
      </c>
      <c r="H250">
        <v>578.56833617334303</v>
      </c>
      <c r="J250">
        <v>-5.7856833617334296</v>
      </c>
      <c r="K250">
        <v>3.8559999999999999</v>
      </c>
      <c r="L250">
        <v>-580.80242057861403</v>
      </c>
      <c r="M250">
        <v>325.03092114758999</v>
      </c>
      <c r="O250">
        <v>1067.2127332400701</v>
      </c>
      <c r="P250">
        <v>4.0345187093567203</v>
      </c>
      <c r="Q250">
        <v>-0.145983021597337</v>
      </c>
      <c r="R250">
        <v>-246.97036</v>
      </c>
      <c r="S250">
        <v>-64.349999999999994</v>
      </c>
      <c r="T250">
        <f t="shared" si="18"/>
        <v>1</v>
      </c>
      <c r="U250">
        <f t="shared" si="19"/>
        <v>0</v>
      </c>
      <c r="V250">
        <f t="shared" si="20"/>
        <v>0</v>
      </c>
      <c r="W250">
        <f t="shared" si="21"/>
        <v>0</v>
      </c>
      <c r="X250">
        <f t="shared" si="22"/>
        <v>0</v>
      </c>
      <c r="Y250">
        <f t="shared" si="23"/>
        <v>1</v>
      </c>
      <c r="Z250">
        <f>SUM(T250:X250)</f>
        <v>1</v>
      </c>
    </row>
    <row r="251" spans="1:26" hidden="1" x14ac:dyDescent="0.35">
      <c r="A251">
        <v>249</v>
      </c>
      <c r="C251" t="s">
        <v>493</v>
      </c>
      <c r="D251" t="s">
        <v>494</v>
      </c>
      <c r="E251" s="1">
        <v>35550</v>
      </c>
      <c r="F251" t="s">
        <v>21</v>
      </c>
      <c r="G251">
        <v>28643</v>
      </c>
      <c r="H251">
        <v>767.58661831661595</v>
      </c>
      <c r="I251">
        <v>3.9579577863052502</v>
      </c>
      <c r="J251">
        <v>-7.6758661831661597</v>
      </c>
      <c r="K251">
        <v>4.93</v>
      </c>
      <c r="L251">
        <v>-383.50685284094999</v>
      </c>
      <c r="M251">
        <v>394.88893889320201</v>
      </c>
      <c r="N251">
        <v>2.4450301587475001</v>
      </c>
      <c r="O251">
        <v>1044.3372788305501</v>
      </c>
      <c r="P251">
        <v>4.8617311439024498</v>
      </c>
      <c r="Q251">
        <v>1.77677706596831E-3</v>
      </c>
      <c r="R251">
        <v>-246.82900000000001</v>
      </c>
      <c r="S251">
        <v>49.13</v>
      </c>
      <c r="T251">
        <f t="shared" si="18"/>
        <v>0</v>
      </c>
      <c r="U251">
        <f t="shared" si="19"/>
        <v>0</v>
      </c>
      <c r="V251">
        <f t="shared" si="20"/>
        <v>0</v>
      </c>
      <c r="W251">
        <f t="shared" si="21"/>
        <v>0</v>
      </c>
      <c r="X251">
        <f t="shared" si="22"/>
        <v>0</v>
      </c>
      <c r="Y251">
        <f t="shared" si="23"/>
        <v>0</v>
      </c>
    </row>
    <row r="252" spans="1:26" hidden="1" x14ac:dyDescent="0.35">
      <c r="A252">
        <v>250</v>
      </c>
      <c r="C252" t="s">
        <v>495</v>
      </c>
      <c r="D252" t="s">
        <v>496</v>
      </c>
      <c r="E252" s="1">
        <v>37024</v>
      </c>
      <c r="F252" t="s">
        <v>24</v>
      </c>
      <c r="G252">
        <v>82841</v>
      </c>
      <c r="I252">
        <v>-4.8250332408694803</v>
      </c>
      <c r="J252">
        <v>3.3801667543653302</v>
      </c>
      <c r="K252">
        <v>-5.6449999999999996</v>
      </c>
      <c r="L252">
        <v>-407.60416179723802</v>
      </c>
      <c r="M252">
        <v>422.713824208978</v>
      </c>
      <c r="N252">
        <v>6.0826446069443296</v>
      </c>
      <c r="O252">
        <v>1006.77416433961</v>
      </c>
      <c r="P252">
        <v>6.9654233236545702</v>
      </c>
      <c r="Q252">
        <v>-0.25813173037582798</v>
      </c>
      <c r="R252">
        <v>-253.39383000000001</v>
      </c>
      <c r="S252">
        <v>-78.599999999999994</v>
      </c>
      <c r="T252">
        <f t="shared" si="18"/>
        <v>0</v>
      </c>
      <c r="U252">
        <f t="shared" si="19"/>
        <v>0</v>
      </c>
      <c r="V252">
        <f t="shared" si="20"/>
        <v>0</v>
      </c>
      <c r="W252">
        <f t="shared" si="21"/>
        <v>0</v>
      </c>
      <c r="X252">
        <f t="shared" si="22"/>
        <v>0</v>
      </c>
      <c r="Y252">
        <f t="shared" si="23"/>
        <v>0</v>
      </c>
    </row>
    <row r="253" spans="1:26" hidden="1" x14ac:dyDescent="0.35">
      <c r="A253">
        <v>251</v>
      </c>
      <c r="C253" t="s">
        <v>497</v>
      </c>
      <c r="D253" t="s">
        <v>498</v>
      </c>
      <c r="E253" s="1">
        <v>36173</v>
      </c>
      <c r="F253" t="s">
        <v>24</v>
      </c>
      <c r="G253">
        <v>42315</v>
      </c>
      <c r="H253">
        <v>-511.522530156904</v>
      </c>
      <c r="I253">
        <v>-6.67673091436059</v>
      </c>
      <c r="J253">
        <v>5.1152253015690397</v>
      </c>
      <c r="K253">
        <v>-5.875</v>
      </c>
      <c r="L253">
        <v>-387.70210818382901</v>
      </c>
      <c r="M253">
        <v>391.52118971756897</v>
      </c>
      <c r="N253">
        <v>4.1245595461051696</v>
      </c>
      <c r="O253">
        <v>1070.42324621322</v>
      </c>
      <c r="P253">
        <v>10.768984186153601</v>
      </c>
      <c r="Q253">
        <v>-2.6616878057460398</v>
      </c>
      <c r="R253">
        <v>-250.9639</v>
      </c>
      <c r="S253">
        <v>-82.46</v>
      </c>
      <c r="T253">
        <f t="shared" si="18"/>
        <v>0</v>
      </c>
      <c r="U253">
        <f t="shared" si="19"/>
        <v>0</v>
      </c>
      <c r="V253">
        <f t="shared" si="20"/>
        <v>0</v>
      </c>
      <c r="W253">
        <f t="shared" si="21"/>
        <v>0</v>
      </c>
      <c r="X253">
        <f t="shared" si="22"/>
        <v>0</v>
      </c>
      <c r="Y253">
        <f t="shared" si="23"/>
        <v>0</v>
      </c>
    </row>
    <row r="254" spans="1:26" hidden="1" x14ac:dyDescent="0.35">
      <c r="A254">
        <v>252</v>
      </c>
      <c r="C254" t="s">
        <v>499</v>
      </c>
      <c r="D254" t="s">
        <v>500</v>
      </c>
      <c r="E254" s="1">
        <v>35445</v>
      </c>
      <c r="F254" t="s">
        <v>24</v>
      </c>
      <c r="G254">
        <v>61593</v>
      </c>
      <c r="I254">
        <v>6.3137363950666598</v>
      </c>
      <c r="J254">
        <v>-2.5340863772740501</v>
      </c>
      <c r="K254">
        <v>4.8120000000000003</v>
      </c>
      <c r="L254">
        <v>-382.40747469858201</v>
      </c>
      <c r="M254">
        <v>426.82947526532803</v>
      </c>
      <c r="N254">
        <v>3.9171076683291002</v>
      </c>
      <c r="O254">
        <v>1037.35650283009</v>
      </c>
      <c r="P254">
        <v>2.3387881902329402</v>
      </c>
      <c r="Q254">
        <v>0.70812521806796802</v>
      </c>
      <c r="R254">
        <v>-242.23285000000001</v>
      </c>
      <c r="S254">
        <v>2.61</v>
      </c>
      <c r="T254">
        <f t="shared" si="18"/>
        <v>0</v>
      </c>
      <c r="U254">
        <f t="shared" si="19"/>
        <v>0</v>
      </c>
      <c r="V254">
        <f t="shared" si="20"/>
        <v>0</v>
      </c>
      <c r="W254">
        <f t="shared" si="21"/>
        <v>0</v>
      </c>
      <c r="X254">
        <f t="shared" si="22"/>
        <v>0</v>
      </c>
      <c r="Y254">
        <f t="shared" si="23"/>
        <v>0</v>
      </c>
    </row>
    <row r="255" spans="1:26" hidden="1" x14ac:dyDescent="0.35">
      <c r="A255">
        <v>253</v>
      </c>
      <c r="C255" t="s">
        <v>501</v>
      </c>
      <c r="D255" t="s">
        <v>502</v>
      </c>
      <c r="E255" s="1">
        <v>36430</v>
      </c>
      <c r="F255" t="s">
        <v>24</v>
      </c>
      <c r="G255">
        <v>43193</v>
      </c>
      <c r="H255">
        <v>389.294740916531</v>
      </c>
      <c r="I255">
        <v>7.7442881003493103</v>
      </c>
      <c r="J255">
        <v>-3.89294740916531</v>
      </c>
      <c r="K255">
        <v>1.409</v>
      </c>
      <c r="L255">
        <v>-582.69649475328094</v>
      </c>
      <c r="M255">
        <v>481.69622558146102</v>
      </c>
      <c r="N255">
        <v>4.8894191688783302</v>
      </c>
      <c r="O255">
        <v>1036.4261045375399</v>
      </c>
      <c r="P255">
        <v>8.9887459710341595</v>
      </c>
      <c r="Q255">
        <v>0.20886928341693201</v>
      </c>
      <c r="R255">
        <v>-243.47095999999999</v>
      </c>
      <c r="S255">
        <v>87.48</v>
      </c>
      <c r="T255">
        <f t="shared" si="18"/>
        <v>0</v>
      </c>
      <c r="U255">
        <f t="shared" si="19"/>
        <v>0</v>
      </c>
      <c r="V255">
        <f t="shared" si="20"/>
        <v>0</v>
      </c>
      <c r="W255">
        <f t="shared" si="21"/>
        <v>0</v>
      </c>
      <c r="X255">
        <f t="shared" si="22"/>
        <v>0</v>
      </c>
      <c r="Y255">
        <f t="shared" si="23"/>
        <v>0</v>
      </c>
    </row>
    <row r="256" spans="1:26" hidden="1" x14ac:dyDescent="0.35">
      <c r="A256">
        <v>254</v>
      </c>
      <c r="C256" t="s">
        <v>503</v>
      </c>
      <c r="D256" t="s">
        <v>504</v>
      </c>
      <c r="E256" s="1">
        <v>36272</v>
      </c>
      <c r="F256" t="s">
        <v>24</v>
      </c>
      <c r="G256">
        <v>44817</v>
      </c>
      <c r="H256">
        <v>-597.177199155783</v>
      </c>
      <c r="I256">
        <v>6.8712755838290898</v>
      </c>
      <c r="J256" s="4">
        <f>-H256/100</f>
        <v>5.97177199155783</v>
      </c>
      <c r="K256">
        <v>4.1660000000000004</v>
      </c>
      <c r="L256">
        <v>540.35568266678001</v>
      </c>
      <c r="M256">
        <v>598.45286815540499</v>
      </c>
      <c r="N256">
        <v>4.4269728744059096</v>
      </c>
      <c r="O256">
        <v>1056.12390488444</v>
      </c>
      <c r="P256">
        <v>6.69276511651859</v>
      </c>
      <c r="Q256">
        <v>0.73939381838451901</v>
      </c>
      <c r="R256">
        <v>-229.28478999999999</v>
      </c>
      <c r="S256">
        <v>12.19</v>
      </c>
      <c r="T256">
        <f t="shared" si="18"/>
        <v>0</v>
      </c>
      <c r="U256">
        <f t="shared" si="19"/>
        <v>0</v>
      </c>
      <c r="V256">
        <f t="shared" si="20"/>
        <v>0</v>
      </c>
      <c r="W256">
        <f t="shared" si="21"/>
        <v>0</v>
      </c>
      <c r="X256">
        <f t="shared" si="22"/>
        <v>0</v>
      </c>
      <c r="Y256">
        <f t="shared" si="23"/>
        <v>0</v>
      </c>
      <c r="Z256">
        <f>SUM(T256:X256)</f>
        <v>0</v>
      </c>
    </row>
    <row r="257" spans="1:25" hidden="1" x14ac:dyDescent="0.35">
      <c r="A257">
        <v>255</v>
      </c>
      <c r="C257" t="s">
        <v>505</v>
      </c>
      <c r="D257" t="s">
        <v>506</v>
      </c>
      <c r="E257" s="1">
        <v>35443</v>
      </c>
      <c r="F257" t="s">
        <v>24</v>
      </c>
      <c r="G257">
        <v>50650</v>
      </c>
      <c r="H257">
        <v>-469.56004115925202</v>
      </c>
      <c r="I257">
        <v>4.4764726895087898</v>
      </c>
      <c r="J257">
        <v>4.6956004115925198</v>
      </c>
      <c r="K257">
        <v>4.8840000000000003</v>
      </c>
      <c r="L257">
        <v>455.16711868369799</v>
      </c>
      <c r="M257">
        <v>549.03551895875603</v>
      </c>
      <c r="N257">
        <v>4.3593403570762703</v>
      </c>
      <c r="O257">
        <v>1047.6652905552</v>
      </c>
      <c r="P257">
        <v>4.6103047505330101</v>
      </c>
      <c r="Q257">
        <v>0.97265390707561905</v>
      </c>
      <c r="R257">
        <v>-232.64956000000001</v>
      </c>
      <c r="S257">
        <v>-22.56</v>
      </c>
      <c r="T257">
        <f t="shared" si="18"/>
        <v>0</v>
      </c>
      <c r="U257">
        <f t="shared" si="19"/>
        <v>0</v>
      </c>
      <c r="V257">
        <f t="shared" si="20"/>
        <v>0</v>
      </c>
      <c r="W257">
        <f t="shared" si="21"/>
        <v>0</v>
      </c>
      <c r="X257">
        <f t="shared" si="22"/>
        <v>0</v>
      </c>
      <c r="Y257">
        <f t="shared" si="23"/>
        <v>0</v>
      </c>
    </row>
    <row r="258" spans="1:25" hidden="1" x14ac:dyDescent="0.35">
      <c r="A258">
        <v>256</v>
      </c>
      <c r="C258" t="s">
        <v>507</v>
      </c>
      <c r="D258" t="s">
        <v>508</v>
      </c>
      <c r="E258" s="1">
        <v>36104</v>
      </c>
      <c r="F258" t="s">
        <v>21</v>
      </c>
      <c r="G258">
        <v>60132</v>
      </c>
      <c r="H258">
        <v>452.33565206941302</v>
      </c>
      <c r="I258">
        <v>6.7089420289004398</v>
      </c>
      <c r="J258">
        <v>-4.5233565206941302</v>
      </c>
      <c r="K258">
        <v>5.8860000000000001</v>
      </c>
      <c r="L258">
        <v>-496.69269337141901</v>
      </c>
      <c r="M258">
        <v>391.37192304182003</v>
      </c>
      <c r="N258">
        <v>7.7316761276241399</v>
      </c>
      <c r="O258">
        <v>1045.78508971818</v>
      </c>
      <c r="P258">
        <v>4.5247858376486096</v>
      </c>
      <c r="Q258">
        <v>-6.9440865448831199E-2</v>
      </c>
      <c r="R258">
        <v>-242.00328999999999</v>
      </c>
      <c r="S258">
        <v>-43.55</v>
      </c>
      <c r="T258">
        <f t="shared" si="18"/>
        <v>0</v>
      </c>
      <c r="U258">
        <f t="shared" si="19"/>
        <v>0</v>
      </c>
      <c r="V258">
        <f t="shared" si="20"/>
        <v>0</v>
      </c>
      <c r="W258">
        <f t="shared" si="21"/>
        <v>0</v>
      </c>
      <c r="X258">
        <f t="shared" si="22"/>
        <v>0</v>
      </c>
      <c r="Y258">
        <f t="shared" si="23"/>
        <v>0</v>
      </c>
    </row>
    <row r="259" spans="1:25" hidden="1" x14ac:dyDescent="0.35">
      <c r="A259">
        <v>257</v>
      </c>
      <c r="C259" t="s">
        <v>509</v>
      </c>
      <c r="D259" t="s">
        <v>510</v>
      </c>
      <c r="E259" s="1">
        <v>35980</v>
      </c>
      <c r="F259" t="s">
        <v>21</v>
      </c>
      <c r="G259">
        <v>25980</v>
      </c>
      <c r="H259">
        <v>-667.79096272469201</v>
      </c>
      <c r="I259">
        <v>5.3444039062722197</v>
      </c>
      <c r="J259">
        <v>6.6779096272469198</v>
      </c>
      <c r="K259">
        <v>3.5049999999999999</v>
      </c>
      <c r="L259">
        <v>728.84381081507502</v>
      </c>
      <c r="M259">
        <v>575.413781055134</v>
      </c>
      <c r="N259">
        <v>5.7343140156654204</v>
      </c>
      <c r="O259">
        <v>1075.4350031624899</v>
      </c>
      <c r="P259">
        <v>9.0145476421723192</v>
      </c>
      <c r="Q259">
        <v>-0.29309348806211499</v>
      </c>
      <c r="R259">
        <v>-228.1678</v>
      </c>
      <c r="S259">
        <v>-19</v>
      </c>
      <c r="T259">
        <f t="shared" ref="T259:T322" si="24">IF(I259="",1,0)</f>
        <v>0</v>
      </c>
      <c r="U259">
        <f t="shared" ref="U259:U322" si="25">IF(J259="",1,0)</f>
        <v>0</v>
      </c>
      <c r="V259">
        <f t="shared" ref="V259:V322" si="26">IF(P259="",1,0)</f>
        <v>0</v>
      </c>
      <c r="W259">
        <f t="shared" ref="W259:W322" si="27">IF(R259="",1,0)</f>
        <v>0</v>
      </c>
      <c r="X259">
        <f t="shared" ref="X259:X322" si="28">IF(S259="",1,0)</f>
        <v>0</v>
      </c>
      <c r="Y259">
        <f t="shared" ref="Y259:Y322" si="29">--OR(T259:X259)</f>
        <v>0</v>
      </c>
    </row>
    <row r="260" spans="1:25" hidden="1" x14ac:dyDescent="0.35">
      <c r="A260">
        <v>258</v>
      </c>
      <c r="C260" t="s">
        <v>511</v>
      </c>
      <c r="D260" t="s">
        <v>512</v>
      </c>
      <c r="E260" s="1">
        <v>36180</v>
      </c>
      <c r="F260" t="s">
        <v>24</v>
      </c>
      <c r="G260">
        <v>31010</v>
      </c>
      <c r="H260">
        <v>511.96856355858199</v>
      </c>
      <c r="I260">
        <v>5.0931518523260104</v>
      </c>
      <c r="J260">
        <v>-5.11968563558582</v>
      </c>
      <c r="K260">
        <v>5.4950000000000001</v>
      </c>
      <c r="L260">
        <v>-145.72101757468499</v>
      </c>
      <c r="M260">
        <v>417.54622518960201</v>
      </c>
      <c r="N260">
        <v>3.9036575630992698</v>
      </c>
      <c r="O260">
        <v>1018.49815094</v>
      </c>
      <c r="P260">
        <v>2.9423819919888499</v>
      </c>
      <c r="Q260">
        <v>-1.00906547176588</v>
      </c>
      <c r="R260">
        <v>-242.7593</v>
      </c>
      <c r="S260">
        <v>41.07</v>
      </c>
      <c r="T260">
        <f t="shared" si="24"/>
        <v>0</v>
      </c>
      <c r="U260">
        <f t="shared" si="25"/>
        <v>0</v>
      </c>
      <c r="V260">
        <f t="shared" si="26"/>
        <v>0</v>
      </c>
      <c r="W260">
        <f t="shared" si="27"/>
        <v>0</v>
      </c>
      <c r="X260">
        <f t="shared" si="28"/>
        <v>0</v>
      </c>
      <c r="Y260">
        <f t="shared" si="29"/>
        <v>0</v>
      </c>
    </row>
    <row r="261" spans="1:25" hidden="1" x14ac:dyDescent="0.35">
      <c r="A261">
        <v>259</v>
      </c>
      <c r="C261" t="s">
        <v>513</v>
      </c>
      <c r="D261" t="s">
        <v>514</v>
      </c>
      <c r="E261" s="1">
        <v>35614</v>
      </c>
      <c r="F261" t="s">
        <v>21</v>
      </c>
      <c r="G261">
        <v>71744</v>
      </c>
      <c r="H261">
        <v>-555.95988976374895</v>
      </c>
      <c r="I261">
        <v>7.6204634469285502</v>
      </c>
      <c r="J261">
        <v>5.5595988976374899</v>
      </c>
      <c r="K261">
        <v>5.5060000000000002</v>
      </c>
      <c r="L261">
        <v>538.90730464204296</v>
      </c>
      <c r="M261">
        <v>644.74417682148896</v>
      </c>
      <c r="N261">
        <v>6.30939912676949</v>
      </c>
      <c r="O261">
        <v>1051.3060702257701</v>
      </c>
      <c r="P261">
        <v>7.1517342664480301</v>
      </c>
      <c r="Q261">
        <v>0.39478715012633198</v>
      </c>
      <c r="R261">
        <v>-228.41807</v>
      </c>
      <c r="S261">
        <v>-16.8</v>
      </c>
      <c r="T261">
        <f t="shared" si="24"/>
        <v>0</v>
      </c>
      <c r="U261">
        <f t="shared" si="25"/>
        <v>0</v>
      </c>
      <c r="V261">
        <f t="shared" si="26"/>
        <v>0</v>
      </c>
      <c r="W261">
        <f t="shared" si="27"/>
        <v>0</v>
      </c>
      <c r="X261">
        <f t="shared" si="28"/>
        <v>0</v>
      </c>
      <c r="Y261">
        <f t="shared" si="29"/>
        <v>0</v>
      </c>
    </row>
    <row r="262" spans="1:25" hidden="1" x14ac:dyDescent="0.35">
      <c r="A262">
        <v>260</v>
      </c>
      <c r="C262" t="s">
        <v>515</v>
      </c>
      <c r="D262" t="s">
        <v>516</v>
      </c>
      <c r="E262" s="1">
        <v>35768</v>
      </c>
      <c r="F262" t="s">
        <v>21</v>
      </c>
      <c r="G262">
        <v>41436</v>
      </c>
      <c r="H262">
        <v>-670.77443780797</v>
      </c>
      <c r="I262">
        <v>-4.1664307264284597</v>
      </c>
      <c r="J262">
        <v>6.7077443780796999</v>
      </c>
      <c r="K262">
        <v>-4.2770000000000001</v>
      </c>
      <c r="L262">
        <v>-615.547148366844</v>
      </c>
      <c r="M262">
        <v>359.18128434239497</v>
      </c>
      <c r="O262">
        <v>1060.34986520289</v>
      </c>
      <c r="P262">
        <v>8.2924669588852904</v>
      </c>
      <c r="Q262">
        <v>-0.47864135889182102</v>
      </c>
      <c r="R262">
        <v>-247.5958</v>
      </c>
      <c r="S262">
        <v>-87.98</v>
      </c>
      <c r="T262">
        <f t="shared" si="24"/>
        <v>0</v>
      </c>
      <c r="U262">
        <f t="shared" si="25"/>
        <v>0</v>
      </c>
      <c r="V262">
        <f t="shared" si="26"/>
        <v>0</v>
      </c>
      <c r="W262">
        <f t="shared" si="27"/>
        <v>0</v>
      </c>
      <c r="X262">
        <f t="shared" si="28"/>
        <v>0</v>
      </c>
      <c r="Y262">
        <f t="shared" si="29"/>
        <v>0</v>
      </c>
    </row>
    <row r="263" spans="1:25" hidden="1" x14ac:dyDescent="0.35">
      <c r="A263">
        <v>261</v>
      </c>
      <c r="C263" t="s">
        <v>517</v>
      </c>
      <c r="D263" t="s">
        <v>518</v>
      </c>
      <c r="E263" s="1">
        <v>35534</v>
      </c>
      <c r="F263" t="s">
        <v>24</v>
      </c>
      <c r="G263">
        <v>67091</v>
      </c>
      <c r="H263">
        <v>-450.43227620283898</v>
      </c>
      <c r="I263">
        <v>4.8928441988767801</v>
      </c>
      <c r="J263">
        <v>4.5043227620283899</v>
      </c>
      <c r="K263">
        <v>5.9550000000000001</v>
      </c>
      <c r="L263">
        <v>892.77840238368003</v>
      </c>
      <c r="M263">
        <v>605.53907188639403</v>
      </c>
      <c r="N263">
        <v>1.7889096532737501</v>
      </c>
      <c r="O263">
        <v>1045.6445896453699</v>
      </c>
      <c r="P263">
        <v>2.0093247503347</v>
      </c>
      <c r="Q263">
        <v>-0.49832664430613099</v>
      </c>
      <c r="R263">
        <v>-231.74332999999999</v>
      </c>
      <c r="S263">
        <v>-14.35</v>
      </c>
      <c r="T263">
        <f t="shared" si="24"/>
        <v>0</v>
      </c>
      <c r="U263">
        <f t="shared" si="25"/>
        <v>0</v>
      </c>
      <c r="V263">
        <f t="shared" si="26"/>
        <v>0</v>
      </c>
      <c r="W263">
        <f t="shared" si="27"/>
        <v>0</v>
      </c>
      <c r="X263">
        <f t="shared" si="28"/>
        <v>0</v>
      </c>
      <c r="Y263">
        <f t="shared" si="29"/>
        <v>0</v>
      </c>
    </row>
    <row r="264" spans="1:25" hidden="1" x14ac:dyDescent="0.35">
      <c r="A264">
        <v>262</v>
      </c>
      <c r="C264" t="s">
        <v>519</v>
      </c>
      <c r="D264" t="s">
        <v>520</v>
      </c>
      <c r="E264" s="1">
        <v>36642</v>
      </c>
      <c r="F264" t="s">
        <v>21</v>
      </c>
      <c r="G264">
        <v>39812</v>
      </c>
      <c r="H264">
        <v>-373.76843776437602</v>
      </c>
      <c r="I264">
        <v>3.8103468323200702</v>
      </c>
      <c r="J264">
        <v>3.73768437764376</v>
      </c>
      <c r="K264">
        <v>5.35</v>
      </c>
      <c r="L264">
        <v>208.832142090312</v>
      </c>
      <c r="M264">
        <v>539.94402929660498</v>
      </c>
      <c r="N264">
        <v>4.1449297723214196</v>
      </c>
      <c r="O264">
        <v>1040.8470186064101</v>
      </c>
      <c r="P264">
        <v>5.38441357860418</v>
      </c>
      <c r="Q264">
        <v>-1.09408835147602</v>
      </c>
      <c r="R264">
        <v>-233.78755000000001</v>
      </c>
      <c r="S264">
        <v>4.59</v>
      </c>
      <c r="T264">
        <f t="shared" si="24"/>
        <v>0</v>
      </c>
      <c r="U264">
        <f t="shared" si="25"/>
        <v>0</v>
      </c>
      <c r="V264">
        <f t="shared" si="26"/>
        <v>0</v>
      </c>
      <c r="W264">
        <f t="shared" si="27"/>
        <v>0</v>
      </c>
      <c r="X264">
        <f t="shared" si="28"/>
        <v>0</v>
      </c>
      <c r="Y264">
        <f t="shared" si="29"/>
        <v>0</v>
      </c>
    </row>
    <row r="265" spans="1:25" hidden="1" x14ac:dyDescent="0.35">
      <c r="A265">
        <v>263</v>
      </c>
      <c r="C265" t="s">
        <v>521</v>
      </c>
      <c r="D265" t="s">
        <v>522</v>
      </c>
      <c r="E265" s="1">
        <v>37092</v>
      </c>
      <c r="F265" t="s">
        <v>24</v>
      </c>
      <c r="G265">
        <v>63834</v>
      </c>
      <c r="H265">
        <v>372.66570060287899</v>
      </c>
      <c r="I265">
        <v>3.0463594919763799</v>
      </c>
      <c r="J265">
        <v>-3.7266570060287898</v>
      </c>
      <c r="K265">
        <v>6.1139999999999999</v>
      </c>
      <c r="L265">
        <v>-388.81188908198101</v>
      </c>
      <c r="M265">
        <v>406.73419220259802</v>
      </c>
      <c r="N265">
        <v>7.0655447868980197</v>
      </c>
      <c r="O265">
        <v>1047.3452213206599</v>
      </c>
      <c r="P265">
        <v>4.8015753742854601</v>
      </c>
      <c r="Q265">
        <v>-0.79795815167873596</v>
      </c>
      <c r="R265">
        <v>-243.35589999999999</v>
      </c>
      <c r="S265">
        <v>-70.2</v>
      </c>
      <c r="T265">
        <f t="shared" si="24"/>
        <v>0</v>
      </c>
      <c r="U265">
        <f t="shared" si="25"/>
        <v>0</v>
      </c>
      <c r="V265">
        <f t="shared" si="26"/>
        <v>0</v>
      </c>
      <c r="W265">
        <f t="shared" si="27"/>
        <v>0</v>
      </c>
      <c r="X265">
        <f t="shared" si="28"/>
        <v>0</v>
      </c>
      <c r="Y265">
        <f t="shared" si="29"/>
        <v>0</v>
      </c>
    </row>
    <row r="266" spans="1:25" hidden="1" x14ac:dyDescent="0.35">
      <c r="A266">
        <v>264</v>
      </c>
      <c r="C266" t="s">
        <v>523</v>
      </c>
      <c r="D266" t="s">
        <v>524</v>
      </c>
      <c r="E266" s="1">
        <v>36602</v>
      </c>
      <c r="F266" t="s">
        <v>24</v>
      </c>
      <c r="G266">
        <v>45308</v>
      </c>
      <c r="H266">
        <v>678.85061172055305</v>
      </c>
      <c r="I266">
        <v>7.1090136673444704</v>
      </c>
      <c r="J266">
        <v>-6.7885061172055297</v>
      </c>
      <c r="K266">
        <v>2.1890000000000001</v>
      </c>
      <c r="L266">
        <v>-620.62432100732497</v>
      </c>
      <c r="M266">
        <v>387.49972704391598</v>
      </c>
      <c r="N266">
        <v>5.3814779224252796</v>
      </c>
      <c r="O266">
        <v>1052.4618241247499</v>
      </c>
      <c r="P266">
        <v>7.0563628757355303</v>
      </c>
      <c r="Q266">
        <v>4.5970239251812699E-2</v>
      </c>
      <c r="R266">
        <v>-246.73281</v>
      </c>
      <c r="S266">
        <v>30.52</v>
      </c>
      <c r="T266">
        <f t="shared" si="24"/>
        <v>0</v>
      </c>
      <c r="U266">
        <f t="shared" si="25"/>
        <v>0</v>
      </c>
      <c r="V266">
        <f t="shared" si="26"/>
        <v>0</v>
      </c>
      <c r="W266">
        <f t="shared" si="27"/>
        <v>0</v>
      </c>
      <c r="X266">
        <f t="shared" si="28"/>
        <v>0</v>
      </c>
      <c r="Y266">
        <f t="shared" si="29"/>
        <v>0</v>
      </c>
    </row>
    <row r="267" spans="1:25" hidden="1" x14ac:dyDescent="0.35">
      <c r="A267">
        <v>265</v>
      </c>
      <c r="C267" t="s">
        <v>525</v>
      </c>
      <c r="D267" t="s">
        <v>526</v>
      </c>
      <c r="E267" s="1">
        <v>36460</v>
      </c>
      <c r="F267" t="s">
        <v>21</v>
      </c>
      <c r="G267">
        <v>40620</v>
      </c>
      <c r="H267">
        <v>-488.79126521018401</v>
      </c>
      <c r="I267">
        <v>3.30829233235248</v>
      </c>
      <c r="J267">
        <v>4.8879126521018401</v>
      </c>
      <c r="K267">
        <v>3.548</v>
      </c>
      <c r="L267">
        <v>600.81575368019003</v>
      </c>
      <c r="M267">
        <v>586.53602859143598</v>
      </c>
      <c r="N267">
        <v>4.6104659896346698</v>
      </c>
      <c r="O267">
        <v>1057.5697602918599</v>
      </c>
      <c r="P267">
        <v>8.1418933597367698</v>
      </c>
      <c r="Q267">
        <v>-1.93456150027062</v>
      </c>
      <c r="R267">
        <v>-232.54500999999999</v>
      </c>
      <c r="S267">
        <v>-9.4700000000000006</v>
      </c>
      <c r="T267">
        <f t="shared" si="24"/>
        <v>0</v>
      </c>
      <c r="U267">
        <f t="shared" si="25"/>
        <v>0</v>
      </c>
      <c r="V267">
        <f t="shared" si="26"/>
        <v>0</v>
      </c>
      <c r="W267">
        <f t="shared" si="27"/>
        <v>0</v>
      </c>
      <c r="X267">
        <f t="shared" si="28"/>
        <v>0</v>
      </c>
      <c r="Y267">
        <f t="shared" si="29"/>
        <v>0</v>
      </c>
    </row>
    <row r="268" spans="1:25" hidden="1" x14ac:dyDescent="0.35">
      <c r="A268">
        <v>266</v>
      </c>
      <c r="C268" t="s">
        <v>527</v>
      </c>
      <c r="D268" t="s">
        <v>528</v>
      </c>
      <c r="E268" s="1">
        <v>36366</v>
      </c>
      <c r="F268" t="s">
        <v>21</v>
      </c>
      <c r="G268">
        <v>15137</v>
      </c>
      <c r="H268">
        <v>-445.24712034876899</v>
      </c>
      <c r="I268">
        <v>6.5281306786379503</v>
      </c>
      <c r="J268">
        <v>4.4524712034876899</v>
      </c>
      <c r="K268">
        <v>5.2089999999999996</v>
      </c>
      <c r="L268">
        <v>225.57318532258299</v>
      </c>
      <c r="N268">
        <v>6.0329233820031698</v>
      </c>
      <c r="O268">
        <v>1050.3689368845801</v>
      </c>
      <c r="P268">
        <v>11.880442927117301</v>
      </c>
      <c r="Q268">
        <v>-0.830734723651678</v>
      </c>
      <c r="R268">
        <v>-228.08610999999999</v>
      </c>
      <c r="S268">
        <v>72.23</v>
      </c>
      <c r="T268">
        <f t="shared" si="24"/>
        <v>0</v>
      </c>
      <c r="U268">
        <f t="shared" si="25"/>
        <v>0</v>
      </c>
      <c r="V268">
        <f t="shared" si="26"/>
        <v>0</v>
      </c>
      <c r="W268">
        <f t="shared" si="27"/>
        <v>0</v>
      </c>
      <c r="X268">
        <f t="shared" si="28"/>
        <v>0</v>
      </c>
      <c r="Y268">
        <f t="shared" si="29"/>
        <v>0</v>
      </c>
    </row>
    <row r="269" spans="1:25" hidden="1" x14ac:dyDescent="0.35">
      <c r="A269">
        <v>267</v>
      </c>
      <c r="C269" t="s">
        <v>529</v>
      </c>
      <c r="D269" t="s">
        <v>530</v>
      </c>
      <c r="E269" s="1">
        <v>37127</v>
      </c>
      <c r="F269" t="s">
        <v>21</v>
      </c>
      <c r="G269">
        <v>50883</v>
      </c>
      <c r="I269">
        <v>-5.9020436980267403</v>
      </c>
      <c r="J269">
        <v>-6.3207329471095699</v>
      </c>
      <c r="K269">
        <v>3.5270000000000001</v>
      </c>
      <c r="L269">
        <v>-824.90176552602702</v>
      </c>
      <c r="M269">
        <v>561.62564689880503</v>
      </c>
      <c r="N269">
        <v>-4.64767939572135</v>
      </c>
      <c r="O269">
        <v>937.55447506147402</v>
      </c>
      <c r="P269">
        <v>3.11744799760785</v>
      </c>
      <c r="Q269">
        <v>-1.4656105831420101</v>
      </c>
      <c r="R269">
        <v>-257.16032999999999</v>
      </c>
      <c r="S269">
        <v>198.78</v>
      </c>
      <c r="T269">
        <f t="shared" si="24"/>
        <v>0</v>
      </c>
      <c r="U269">
        <f t="shared" si="25"/>
        <v>0</v>
      </c>
      <c r="V269">
        <f t="shared" si="26"/>
        <v>0</v>
      </c>
      <c r="W269">
        <f t="shared" si="27"/>
        <v>0</v>
      </c>
      <c r="X269">
        <f t="shared" si="28"/>
        <v>0</v>
      </c>
      <c r="Y269">
        <f t="shared" si="29"/>
        <v>0</v>
      </c>
    </row>
    <row r="270" spans="1:25" hidden="1" x14ac:dyDescent="0.35">
      <c r="A270">
        <v>268</v>
      </c>
      <c r="C270" t="s">
        <v>531</v>
      </c>
      <c r="D270" t="s">
        <v>532</v>
      </c>
      <c r="E270" s="1">
        <v>35726</v>
      </c>
      <c r="F270" t="s">
        <v>24</v>
      </c>
      <c r="G270">
        <v>58782</v>
      </c>
      <c r="H270">
        <v>-363.10728358585402</v>
      </c>
      <c r="I270">
        <v>6.1305838827695096</v>
      </c>
      <c r="J270">
        <v>3.6310728358585398</v>
      </c>
      <c r="K270">
        <v>5.6239999999999997</v>
      </c>
      <c r="M270">
        <v>602.41981694544995</v>
      </c>
      <c r="N270">
        <v>5.4386435983116899</v>
      </c>
      <c r="O270">
        <v>1043.1588397592</v>
      </c>
      <c r="P270">
        <v>6.4923646928793897</v>
      </c>
      <c r="Q270">
        <v>-0.20029559385585</v>
      </c>
      <c r="R270">
        <v>-231.45686000000001</v>
      </c>
      <c r="S270">
        <v>-0.71</v>
      </c>
      <c r="T270">
        <f t="shared" si="24"/>
        <v>0</v>
      </c>
      <c r="U270">
        <f t="shared" si="25"/>
        <v>0</v>
      </c>
      <c r="V270">
        <f t="shared" si="26"/>
        <v>0</v>
      </c>
      <c r="W270">
        <f t="shared" si="27"/>
        <v>0</v>
      </c>
      <c r="X270">
        <f t="shared" si="28"/>
        <v>0</v>
      </c>
      <c r="Y270">
        <f t="shared" si="29"/>
        <v>0</v>
      </c>
    </row>
    <row r="271" spans="1:25" hidden="1" x14ac:dyDescent="0.35">
      <c r="A271">
        <v>269</v>
      </c>
      <c r="C271" t="s">
        <v>533</v>
      </c>
      <c r="D271" t="s">
        <v>534</v>
      </c>
      <c r="E271" s="1">
        <v>35676</v>
      </c>
      <c r="F271" t="s">
        <v>21</v>
      </c>
      <c r="G271">
        <v>62720</v>
      </c>
      <c r="H271">
        <v>-549.50481242226795</v>
      </c>
      <c r="I271">
        <v>4.7267281365469902</v>
      </c>
      <c r="J271">
        <v>5.4950481242226799</v>
      </c>
      <c r="K271">
        <v>4.0539999999999896</v>
      </c>
      <c r="L271">
        <v>323.19765415192001</v>
      </c>
      <c r="M271">
        <v>533.76797224126994</v>
      </c>
      <c r="N271">
        <v>4.5002120901358502</v>
      </c>
      <c r="O271">
        <v>1030.0618293323</v>
      </c>
      <c r="P271">
        <v>2.69687453017431</v>
      </c>
      <c r="Q271">
        <v>0.52513466754656701</v>
      </c>
      <c r="R271">
        <v>-233.94682</v>
      </c>
      <c r="S271">
        <v>-27.23</v>
      </c>
      <c r="T271">
        <f t="shared" si="24"/>
        <v>0</v>
      </c>
      <c r="U271">
        <f t="shared" si="25"/>
        <v>0</v>
      </c>
      <c r="V271">
        <f t="shared" si="26"/>
        <v>0</v>
      </c>
      <c r="W271">
        <f t="shared" si="27"/>
        <v>0</v>
      </c>
      <c r="X271">
        <f t="shared" si="28"/>
        <v>0</v>
      </c>
      <c r="Y271">
        <f t="shared" si="29"/>
        <v>0</v>
      </c>
    </row>
    <row r="272" spans="1:25" hidden="1" x14ac:dyDescent="0.35">
      <c r="A272">
        <v>270</v>
      </c>
      <c r="C272" t="s">
        <v>531</v>
      </c>
      <c r="D272" t="s">
        <v>535</v>
      </c>
      <c r="E272" s="1">
        <v>36109</v>
      </c>
      <c r="F272" t="s">
        <v>21</v>
      </c>
      <c r="G272">
        <v>83660</v>
      </c>
      <c r="H272">
        <v>249.77619135995499</v>
      </c>
      <c r="I272">
        <v>5.2939920788350898</v>
      </c>
      <c r="J272">
        <v>-2.4977619135995499</v>
      </c>
      <c r="K272">
        <v>3.9510000000000001</v>
      </c>
      <c r="L272">
        <v>-887.38273751220004</v>
      </c>
      <c r="M272">
        <v>403.26904627838798</v>
      </c>
      <c r="N272">
        <v>3.8030581259199701</v>
      </c>
      <c r="O272">
        <v>1084.2494733911899</v>
      </c>
      <c r="P272">
        <v>4.8960991651753298</v>
      </c>
      <c r="Q272">
        <v>1.62477156920439</v>
      </c>
      <c r="R272">
        <v>-245.51183</v>
      </c>
      <c r="S272">
        <v>-46.7</v>
      </c>
      <c r="T272">
        <f t="shared" si="24"/>
        <v>0</v>
      </c>
      <c r="U272">
        <f t="shared" si="25"/>
        <v>0</v>
      </c>
      <c r="V272">
        <f t="shared" si="26"/>
        <v>0</v>
      </c>
      <c r="W272">
        <f t="shared" si="27"/>
        <v>0</v>
      </c>
      <c r="X272">
        <f t="shared" si="28"/>
        <v>0</v>
      </c>
      <c r="Y272">
        <f t="shared" si="29"/>
        <v>0</v>
      </c>
    </row>
    <row r="273" spans="1:26" hidden="1" x14ac:dyDescent="0.35">
      <c r="A273">
        <v>271</v>
      </c>
      <c r="C273" t="s">
        <v>536</v>
      </c>
      <c r="D273" t="s">
        <v>537</v>
      </c>
      <c r="E273" s="1">
        <v>36241</v>
      </c>
      <c r="F273" t="s">
        <v>21</v>
      </c>
      <c r="G273">
        <v>53451</v>
      </c>
      <c r="H273">
        <v>-605.91878556634595</v>
      </c>
      <c r="I273">
        <v>-3.0098465795902101</v>
      </c>
      <c r="J273">
        <v>6.0591878556634597</v>
      </c>
      <c r="K273">
        <v>-5.093</v>
      </c>
      <c r="L273">
        <v>-567.02255732095205</v>
      </c>
      <c r="M273">
        <v>371.97897539305302</v>
      </c>
      <c r="N273">
        <v>2.9506629203308798</v>
      </c>
      <c r="O273">
        <v>1057.3743623283999</v>
      </c>
      <c r="P273">
        <v>6.4173915265021</v>
      </c>
      <c r="Q273">
        <v>0.42131908425202003</v>
      </c>
      <c r="R273">
        <v>-249.29608999999999</v>
      </c>
      <c r="S273">
        <v>-61.34</v>
      </c>
      <c r="T273">
        <f t="shared" si="24"/>
        <v>0</v>
      </c>
      <c r="U273">
        <f t="shared" si="25"/>
        <v>0</v>
      </c>
      <c r="V273">
        <f t="shared" si="26"/>
        <v>0</v>
      </c>
      <c r="W273">
        <f t="shared" si="27"/>
        <v>0</v>
      </c>
      <c r="X273">
        <f t="shared" si="28"/>
        <v>0</v>
      </c>
      <c r="Y273">
        <f t="shared" si="29"/>
        <v>0</v>
      </c>
    </row>
    <row r="274" spans="1:26" hidden="1" x14ac:dyDescent="0.35">
      <c r="A274">
        <v>272</v>
      </c>
      <c r="C274" t="s">
        <v>538</v>
      </c>
      <c r="D274" t="s">
        <v>539</v>
      </c>
      <c r="E274" s="1">
        <v>36629</v>
      </c>
      <c r="F274" t="s">
        <v>24</v>
      </c>
      <c r="G274">
        <v>39432</v>
      </c>
      <c r="H274">
        <v>-385.76706511892399</v>
      </c>
      <c r="I274">
        <v>4.08851725623561</v>
      </c>
      <c r="J274">
        <v>3.85767065118924</v>
      </c>
      <c r="K274">
        <v>5.3289999999999997</v>
      </c>
      <c r="L274">
        <v>603.69159638519</v>
      </c>
      <c r="M274">
        <v>581.64644633365901</v>
      </c>
      <c r="N274">
        <v>8.0752159350555708</v>
      </c>
      <c r="O274">
        <v>1069.9889550560299</v>
      </c>
      <c r="P274">
        <v>10.436487762418199</v>
      </c>
      <c r="Q274">
        <v>0.69602708785827205</v>
      </c>
      <c r="R274">
        <v>-230.09461999999999</v>
      </c>
      <c r="S274">
        <v>-51.59</v>
      </c>
      <c r="T274">
        <f t="shared" si="24"/>
        <v>0</v>
      </c>
      <c r="U274">
        <f t="shared" si="25"/>
        <v>0</v>
      </c>
      <c r="V274">
        <f t="shared" si="26"/>
        <v>0</v>
      </c>
      <c r="W274">
        <f t="shared" si="27"/>
        <v>0</v>
      </c>
      <c r="X274">
        <f t="shared" si="28"/>
        <v>0</v>
      </c>
      <c r="Y274">
        <f t="shared" si="29"/>
        <v>0</v>
      </c>
    </row>
    <row r="275" spans="1:26" hidden="1" x14ac:dyDescent="0.35">
      <c r="A275">
        <v>273</v>
      </c>
      <c r="C275" t="s">
        <v>540</v>
      </c>
      <c r="D275" t="s">
        <v>541</v>
      </c>
      <c r="E275" s="1">
        <v>36254</v>
      </c>
      <c r="F275" t="s">
        <v>21</v>
      </c>
      <c r="G275">
        <v>41858</v>
      </c>
      <c r="H275">
        <v>418.69302011603901</v>
      </c>
      <c r="I275">
        <v>-4.49953142756645</v>
      </c>
      <c r="J275">
        <v>-4.1869302011603899</v>
      </c>
      <c r="K275">
        <v>5.49</v>
      </c>
      <c r="L275">
        <v>-732.43916754875704</v>
      </c>
      <c r="M275">
        <v>603.30028688420498</v>
      </c>
      <c r="N275">
        <v>-6.4513501021171802</v>
      </c>
      <c r="O275">
        <v>942.61606285342998</v>
      </c>
      <c r="P275">
        <v>2.0861229385254898</v>
      </c>
      <c r="Q275">
        <v>0.58981417355989596</v>
      </c>
      <c r="R275">
        <v>-252.23813999999999</v>
      </c>
      <c r="S275">
        <v>231.02</v>
      </c>
      <c r="T275">
        <f t="shared" si="24"/>
        <v>0</v>
      </c>
      <c r="U275">
        <f t="shared" si="25"/>
        <v>0</v>
      </c>
      <c r="V275">
        <f t="shared" si="26"/>
        <v>0</v>
      </c>
      <c r="W275">
        <f t="shared" si="27"/>
        <v>0</v>
      </c>
      <c r="X275">
        <f t="shared" si="28"/>
        <v>0</v>
      </c>
      <c r="Y275">
        <f t="shared" si="29"/>
        <v>0</v>
      </c>
    </row>
    <row r="276" spans="1:26" hidden="1" x14ac:dyDescent="0.35">
      <c r="A276">
        <v>274</v>
      </c>
      <c r="C276" t="s">
        <v>542</v>
      </c>
      <c r="D276" t="s">
        <v>543</v>
      </c>
      <c r="E276" s="1">
        <v>36304</v>
      </c>
      <c r="F276" t="s">
        <v>24</v>
      </c>
      <c r="G276">
        <v>57172</v>
      </c>
      <c r="H276">
        <v>-539.717615243002</v>
      </c>
      <c r="I276">
        <v>4.93694135541595</v>
      </c>
      <c r="J276">
        <v>5.3971761524300197</v>
      </c>
      <c r="K276">
        <v>5.0789999999999997</v>
      </c>
      <c r="L276">
        <v>792.84235812066095</v>
      </c>
      <c r="M276">
        <v>644.83247216443397</v>
      </c>
      <c r="N276">
        <v>3.6470524661214401</v>
      </c>
      <c r="O276">
        <v>1056.8182821759001</v>
      </c>
      <c r="P276">
        <v>6.7773640974606799</v>
      </c>
      <c r="Q276">
        <v>-0.89618143814820495</v>
      </c>
      <c r="R276">
        <v>-229.93955</v>
      </c>
      <c r="S276">
        <v>-2.2599999999999998</v>
      </c>
      <c r="T276">
        <f t="shared" si="24"/>
        <v>0</v>
      </c>
      <c r="U276">
        <f t="shared" si="25"/>
        <v>0</v>
      </c>
      <c r="V276">
        <f t="shared" si="26"/>
        <v>0</v>
      </c>
      <c r="W276">
        <f t="shared" si="27"/>
        <v>0</v>
      </c>
      <c r="X276">
        <f t="shared" si="28"/>
        <v>0</v>
      </c>
      <c r="Y276">
        <f t="shared" si="29"/>
        <v>0</v>
      </c>
    </row>
    <row r="277" spans="1:26" hidden="1" x14ac:dyDescent="0.35">
      <c r="A277">
        <v>275</v>
      </c>
      <c r="C277" t="s">
        <v>355</v>
      </c>
      <c r="D277" t="s">
        <v>544</v>
      </c>
      <c r="E277" s="1">
        <v>36178</v>
      </c>
      <c r="F277" t="s">
        <v>21</v>
      </c>
      <c r="G277">
        <v>49756</v>
      </c>
      <c r="H277">
        <v>520.58972486850996</v>
      </c>
      <c r="I277">
        <v>4.1574950059743401</v>
      </c>
      <c r="J277">
        <v>-5.2058972486851003</v>
      </c>
      <c r="K277">
        <v>6.9569999999999999</v>
      </c>
      <c r="L277">
        <v>-204.23508937080399</v>
      </c>
      <c r="M277">
        <v>427.99822278277901</v>
      </c>
      <c r="N277">
        <v>5.1405590379742501</v>
      </c>
      <c r="O277">
        <v>1026.1921240232</v>
      </c>
      <c r="P277">
        <v>3.1775974764930002</v>
      </c>
      <c r="Q277">
        <v>-0.116794995482621</v>
      </c>
      <c r="R277">
        <v>-242.75069999999999</v>
      </c>
      <c r="S277">
        <v>-6.67</v>
      </c>
      <c r="T277">
        <f t="shared" si="24"/>
        <v>0</v>
      </c>
      <c r="U277">
        <f t="shared" si="25"/>
        <v>0</v>
      </c>
      <c r="V277">
        <f t="shared" si="26"/>
        <v>0</v>
      </c>
      <c r="W277">
        <f t="shared" si="27"/>
        <v>0</v>
      </c>
      <c r="X277">
        <f t="shared" si="28"/>
        <v>0</v>
      </c>
      <c r="Y277">
        <f t="shared" si="29"/>
        <v>0</v>
      </c>
    </row>
    <row r="278" spans="1:26" x14ac:dyDescent="0.35">
      <c r="A278">
        <v>276</v>
      </c>
      <c r="C278" t="s">
        <v>545</v>
      </c>
      <c r="D278" t="s">
        <v>546</v>
      </c>
      <c r="E278" s="1">
        <v>35915</v>
      </c>
      <c r="F278" t="s">
        <v>24</v>
      </c>
      <c r="G278">
        <v>54316</v>
      </c>
      <c r="H278">
        <v>-585.97807981748895</v>
      </c>
      <c r="I278">
        <v>6.4405876814973402</v>
      </c>
      <c r="J278">
        <v>5.8597807981748904</v>
      </c>
      <c r="K278">
        <v>5.157</v>
      </c>
      <c r="L278">
        <v>593.40107965175298</v>
      </c>
      <c r="N278">
        <v>4.2996504008946301</v>
      </c>
      <c r="O278">
        <v>1041.77803319646</v>
      </c>
      <c r="Q278">
        <v>-1.1739004259716499</v>
      </c>
      <c r="R278">
        <v>-229.31704999999999</v>
      </c>
      <c r="S278">
        <v>9.24</v>
      </c>
      <c r="T278">
        <f t="shared" si="24"/>
        <v>0</v>
      </c>
      <c r="U278">
        <f t="shared" si="25"/>
        <v>0</v>
      </c>
      <c r="V278">
        <f t="shared" si="26"/>
        <v>1</v>
      </c>
      <c r="W278">
        <f t="shared" si="27"/>
        <v>0</v>
      </c>
      <c r="X278">
        <f t="shared" si="28"/>
        <v>0</v>
      </c>
      <c r="Y278">
        <f t="shared" si="29"/>
        <v>1</v>
      </c>
      <c r="Z278">
        <f>SUM(T278:X278)</f>
        <v>1</v>
      </c>
    </row>
    <row r="279" spans="1:26" hidden="1" x14ac:dyDescent="0.35">
      <c r="A279">
        <v>277</v>
      </c>
      <c r="C279" t="s">
        <v>547</v>
      </c>
      <c r="D279" t="s">
        <v>548</v>
      </c>
      <c r="E279" s="1">
        <v>35542</v>
      </c>
      <c r="F279" t="s">
        <v>24</v>
      </c>
      <c r="G279">
        <v>59185</v>
      </c>
      <c r="H279">
        <v>698.54127157818095</v>
      </c>
      <c r="I279">
        <v>-4.7538767314517401</v>
      </c>
      <c r="J279">
        <v>-6.98541271578181</v>
      </c>
      <c r="K279">
        <v>4.3540000000000001</v>
      </c>
      <c r="L279">
        <v>-688.70252277899203</v>
      </c>
      <c r="M279">
        <v>619.50638518721996</v>
      </c>
      <c r="N279">
        <v>-5.3098510141602802</v>
      </c>
      <c r="O279">
        <v>926.37175631765501</v>
      </c>
      <c r="P279">
        <v>2.9296272687304898</v>
      </c>
      <c r="Q279">
        <v>-0.65311916430586503</v>
      </c>
      <c r="R279">
        <v>-256.11774000000003</v>
      </c>
      <c r="S279">
        <v>229.47</v>
      </c>
      <c r="T279">
        <f t="shared" si="24"/>
        <v>0</v>
      </c>
      <c r="U279">
        <f t="shared" si="25"/>
        <v>0</v>
      </c>
      <c r="V279">
        <f t="shared" si="26"/>
        <v>0</v>
      </c>
      <c r="W279">
        <f t="shared" si="27"/>
        <v>0</v>
      </c>
      <c r="X279">
        <f t="shared" si="28"/>
        <v>0</v>
      </c>
      <c r="Y279">
        <f t="shared" si="29"/>
        <v>0</v>
      </c>
    </row>
    <row r="280" spans="1:26" hidden="1" x14ac:dyDescent="0.35">
      <c r="A280">
        <v>278</v>
      </c>
      <c r="C280" t="s">
        <v>549</v>
      </c>
      <c r="D280" t="s">
        <v>550</v>
      </c>
      <c r="E280" s="1">
        <v>36827</v>
      </c>
      <c r="F280" t="s">
        <v>24</v>
      </c>
      <c r="G280">
        <v>56207</v>
      </c>
      <c r="H280">
        <v>630.42793373557595</v>
      </c>
      <c r="I280">
        <v>-5.0521850875594598</v>
      </c>
      <c r="J280">
        <v>-6.3042793373557604</v>
      </c>
      <c r="K280">
        <v>4.4649999999999999</v>
      </c>
      <c r="L280">
        <v>-633.67108651035596</v>
      </c>
      <c r="M280">
        <v>579.25995908735104</v>
      </c>
      <c r="N280">
        <v>-4.6288302675915904</v>
      </c>
      <c r="O280">
        <v>945.55410356827304</v>
      </c>
      <c r="P280">
        <v>2.7019528499081602</v>
      </c>
      <c r="Q280">
        <v>-1.33138699369392</v>
      </c>
      <c r="R280">
        <v>-255.345</v>
      </c>
      <c r="S280">
        <v>185.94</v>
      </c>
      <c r="T280">
        <f t="shared" si="24"/>
        <v>0</v>
      </c>
      <c r="U280">
        <f t="shared" si="25"/>
        <v>0</v>
      </c>
      <c r="V280">
        <f t="shared" si="26"/>
        <v>0</v>
      </c>
      <c r="W280">
        <f t="shared" si="27"/>
        <v>0</v>
      </c>
      <c r="X280">
        <f t="shared" si="28"/>
        <v>0</v>
      </c>
      <c r="Y280">
        <f t="shared" si="29"/>
        <v>0</v>
      </c>
    </row>
    <row r="281" spans="1:26" hidden="1" x14ac:dyDescent="0.35">
      <c r="A281">
        <v>279</v>
      </c>
      <c r="C281" t="s">
        <v>551</v>
      </c>
      <c r="D281" t="s">
        <v>552</v>
      </c>
      <c r="E281" s="1">
        <v>37105</v>
      </c>
      <c r="F281" t="s">
        <v>24</v>
      </c>
      <c r="H281">
        <v>626.12153375868104</v>
      </c>
      <c r="I281">
        <v>1.6454137689252699</v>
      </c>
      <c r="J281">
        <v>-6.26121533758681</v>
      </c>
      <c r="K281">
        <v>7.2329999999999997</v>
      </c>
      <c r="L281">
        <v>-704.306596730622</v>
      </c>
      <c r="M281">
        <v>408.06651307801002</v>
      </c>
      <c r="N281">
        <v>5.6113323676972904</v>
      </c>
      <c r="O281">
        <v>1074.62814822621</v>
      </c>
      <c r="P281">
        <v>7.4659784230546302</v>
      </c>
      <c r="Q281">
        <v>-1.71982133025752</v>
      </c>
      <c r="R281">
        <v>-245.89146</v>
      </c>
      <c r="S281">
        <v>-52.96</v>
      </c>
      <c r="T281">
        <f t="shared" si="24"/>
        <v>0</v>
      </c>
      <c r="U281">
        <f t="shared" si="25"/>
        <v>0</v>
      </c>
      <c r="V281">
        <f t="shared" si="26"/>
        <v>0</v>
      </c>
      <c r="W281">
        <f t="shared" si="27"/>
        <v>0</v>
      </c>
      <c r="X281">
        <f t="shared" si="28"/>
        <v>0</v>
      </c>
      <c r="Y281">
        <f t="shared" si="29"/>
        <v>0</v>
      </c>
    </row>
    <row r="282" spans="1:26" hidden="1" x14ac:dyDescent="0.35">
      <c r="A282">
        <v>280</v>
      </c>
      <c r="C282" t="s">
        <v>553</v>
      </c>
      <c r="D282" t="s">
        <v>554</v>
      </c>
      <c r="E282" s="1">
        <v>36182</v>
      </c>
      <c r="F282" t="s">
        <v>21</v>
      </c>
      <c r="H282">
        <v>483.525679766503</v>
      </c>
      <c r="I282">
        <v>2.7583227664600098</v>
      </c>
      <c r="J282">
        <v>-4.83525679766504</v>
      </c>
      <c r="K282">
        <v>5.5579999999999998</v>
      </c>
      <c r="L282">
        <v>-679.85086988470903</v>
      </c>
      <c r="M282">
        <v>460.89506727010399</v>
      </c>
      <c r="N282">
        <v>2.9044675563021598</v>
      </c>
      <c r="O282">
        <v>1061.7458400144999</v>
      </c>
      <c r="P282">
        <v>8.0449318457267296</v>
      </c>
      <c r="Q282">
        <v>-1.18969794154273</v>
      </c>
      <c r="R282">
        <v>-244.82311000000001</v>
      </c>
      <c r="S282">
        <v>36.97</v>
      </c>
      <c r="T282">
        <f t="shared" si="24"/>
        <v>0</v>
      </c>
      <c r="U282">
        <f t="shared" si="25"/>
        <v>0</v>
      </c>
      <c r="V282">
        <f t="shared" si="26"/>
        <v>0</v>
      </c>
      <c r="W282">
        <f t="shared" si="27"/>
        <v>0</v>
      </c>
      <c r="X282">
        <f t="shared" si="28"/>
        <v>0</v>
      </c>
      <c r="Y282">
        <f t="shared" si="29"/>
        <v>0</v>
      </c>
    </row>
    <row r="283" spans="1:26" hidden="1" x14ac:dyDescent="0.35">
      <c r="A283">
        <v>281</v>
      </c>
      <c r="C283" t="s">
        <v>555</v>
      </c>
      <c r="D283" t="s">
        <v>556</v>
      </c>
      <c r="E283" s="1">
        <v>36971</v>
      </c>
      <c r="F283" t="s">
        <v>24</v>
      </c>
      <c r="G283">
        <v>39564</v>
      </c>
      <c r="H283">
        <v>631.62743797021199</v>
      </c>
      <c r="I283">
        <v>6.2995081495793697</v>
      </c>
      <c r="J283">
        <v>-6.3162743797021097</v>
      </c>
      <c r="K283">
        <v>2.117</v>
      </c>
      <c r="L283">
        <v>-524.81337651138801</v>
      </c>
      <c r="M283">
        <v>331.73657888691997</v>
      </c>
      <c r="N283">
        <v>3.2061013777163399</v>
      </c>
      <c r="O283">
        <v>1056.9421555439701</v>
      </c>
      <c r="P283">
        <v>3.60667128165107</v>
      </c>
      <c r="Q283">
        <v>0.74104462735711496</v>
      </c>
      <c r="R283">
        <v>-247.81184999999999</v>
      </c>
      <c r="S283">
        <v>17.72</v>
      </c>
      <c r="T283">
        <f t="shared" si="24"/>
        <v>0</v>
      </c>
      <c r="U283">
        <f t="shared" si="25"/>
        <v>0</v>
      </c>
      <c r="V283">
        <f t="shared" si="26"/>
        <v>0</v>
      </c>
      <c r="W283">
        <f t="shared" si="27"/>
        <v>0</v>
      </c>
      <c r="X283">
        <f t="shared" si="28"/>
        <v>0</v>
      </c>
      <c r="Y283">
        <f t="shared" si="29"/>
        <v>0</v>
      </c>
    </row>
    <row r="284" spans="1:26" hidden="1" x14ac:dyDescent="0.35">
      <c r="A284">
        <v>282</v>
      </c>
      <c r="C284" t="s">
        <v>557</v>
      </c>
      <c r="D284" t="s">
        <v>558</v>
      </c>
      <c r="E284" s="1">
        <v>35911</v>
      </c>
      <c r="F284" t="s">
        <v>21</v>
      </c>
      <c r="G284">
        <v>33898</v>
      </c>
      <c r="H284">
        <v>563.38068986005203</v>
      </c>
      <c r="I284">
        <v>3.9952358494540601</v>
      </c>
      <c r="J284">
        <v>-5.6338068986005201</v>
      </c>
      <c r="K284">
        <v>2.1709999999999998</v>
      </c>
      <c r="L284">
        <v>-338.038532856014</v>
      </c>
      <c r="M284">
        <v>386.03018956314702</v>
      </c>
      <c r="N284">
        <v>7.6977472006052396</v>
      </c>
      <c r="O284">
        <v>1038.22463880549</v>
      </c>
      <c r="P284">
        <v>8.1221985652061299</v>
      </c>
      <c r="Q284">
        <v>0.56301476713006704</v>
      </c>
      <c r="R284">
        <v>-245.83466999999999</v>
      </c>
      <c r="S284">
        <v>-8.09</v>
      </c>
      <c r="T284">
        <f t="shared" si="24"/>
        <v>0</v>
      </c>
      <c r="U284">
        <f t="shared" si="25"/>
        <v>0</v>
      </c>
      <c r="V284">
        <f t="shared" si="26"/>
        <v>0</v>
      </c>
      <c r="W284">
        <f t="shared" si="27"/>
        <v>0</v>
      </c>
      <c r="X284">
        <f t="shared" si="28"/>
        <v>0</v>
      </c>
      <c r="Y284">
        <f t="shared" si="29"/>
        <v>0</v>
      </c>
    </row>
    <row r="285" spans="1:26" hidden="1" x14ac:dyDescent="0.35">
      <c r="A285">
        <v>283</v>
      </c>
      <c r="C285" t="s">
        <v>559</v>
      </c>
      <c r="D285" t="s">
        <v>560</v>
      </c>
      <c r="E285" s="1">
        <v>36654</v>
      </c>
      <c r="F285" t="s">
        <v>24</v>
      </c>
      <c r="G285">
        <v>48697</v>
      </c>
      <c r="I285">
        <v>5.00766280333095</v>
      </c>
      <c r="J285">
        <v>4.5418764269639</v>
      </c>
      <c r="K285">
        <v>5.5250000000000004</v>
      </c>
      <c r="L285">
        <v>491.85963654216903</v>
      </c>
      <c r="M285">
        <v>579.599733669334</v>
      </c>
      <c r="N285">
        <v>1.91147525963281</v>
      </c>
      <c r="O285">
        <v>1043.22824258794</v>
      </c>
      <c r="P285">
        <v>3.4771425075745301</v>
      </c>
      <c r="Q285">
        <v>-0.302469642292929</v>
      </c>
      <c r="R285">
        <v>-232.26194000000001</v>
      </c>
      <c r="S285">
        <v>21.34</v>
      </c>
      <c r="T285">
        <f t="shared" si="24"/>
        <v>0</v>
      </c>
      <c r="U285">
        <f t="shared" si="25"/>
        <v>0</v>
      </c>
      <c r="V285">
        <f t="shared" si="26"/>
        <v>0</v>
      </c>
      <c r="W285">
        <f t="shared" si="27"/>
        <v>0</v>
      </c>
      <c r="X285">
        <f t="shared" si="28"/>
        <v>0</v>
      </c>
      <c r="Y285">
        <f t="shared" si="29"/>
        <v>0</v>
      </c>
    </row>
    <row r="286" spans="1:26" hidden="1" x14ac:dyDescent="0.35">
      <c r="A286">
        <v>284</v>
      </c>
      <c r="C286" t="s">
        <v>561</v>
      </c>
      <c r="D286" t="s">
        <v>562</v>
      </c>
      <c r="E286" s="1">
        <v>36259</v>
      </c>
      <c r="F286" t="s">
        <v>24</v>
      </c>
      <c r="G286">
        <v>52130</v>
      </c>
      <c r="H286">
        <v>498.76699171553298</v>
      </c>
      <c r="I286">
        <v>7.6201644943314299</v>
      </c>
      <c r="J286">
        <v>-4.9876699171553298</v>
      </c>
      <c r="K286">
        <v>4.8029999999999999</v>
      </c>
      <c r="L286">
        <v>-519.15128044008202</v>
      </c>
      <c r="N286">
        <v>3.7104356257890898</v>
      </c>
      <c r="O286">
        <v>1047.9947889898699</v>
      </c>
      <c r="P286">
        <v>2.57368350671375</v>
      </c>
      <c r="Q286">
        <v>-0.64597644972151502</v>
      </c>
      <c r="R286">
        <v>-243.74941999999999</v>
      </c>
      <c r="S286">
        <v>16.579999999999998</v>
      </c>
      <c r="T286">
        <f t="shared" si="24"/>
        <v>0</v>
      </c>
      <c r="U286">
        <f t="shared" si="25"/>
        <v>0</v>
      </c>
      <c r="V286">
        <f t="shared" si="26"/>
        <v>0</v>
      </c>
      <c r="W286">
        <f t="shared" si="27"/>
        <v>0</v>
      </c>
      <c r="X286">
        <f t="shared" si="28"/>
        <v>0</v>
      </c>
      <c r="Y286">
        <f t="shared" si="29"/>
        <v>0</v>
      </c>
    </row>
    <row r="287" spans="1:26" hidden="1" x14ac:dyDescent="0.35">
      <c r="A287">
        <v>285</v>
      </c>
      <c r="C287" t="s">
        <v>563</v>
      </c>
      <c r="D287" t="s">
        <v>564</v>
      </c>
      <c r="E287" s="1">
        <v>36800</v>
      </c>
      <c r="F287" t="s">
        <v>24</v>
      </c>
      <c r="G287">
        <v>38668</v>
      </c>
      <c r="H287">
        <v>-490.71320974024297</v>
      </c>
      <c r="I287">
        <v>0.87086411796559005</v>
      </c>
      <c r="J287">
        <v>4.9071320974024299</v>
      </c>
      <c r="K287">
        <v>4.3140000000000001</v>
      </c>
      <c r="L287">
        <v>436.61113274737897</v>
      </c>
      <c r="M287">
        <v>607.04175457226995</v>
      </c>
      <c r="N287">
        <v>6.1596285127866404</v>
      </c>
      <c r="O287">
        <v>1058.31217882737</v>
      </c>
      <c r="P287">
        <v>11.0238297601491</v>
      </c>
      <c r="Q287">
        <v>-0.62376545168464004</v>
      </c>
      <c r="R287">
        <v>-232.8665</v>
      </c>
      <c r="S287">
        <v>-24.42</v>
      </c>
      <c r="T287">
        <f t="shared" si="24"/>
        <v>0</v>
      </c>
      <c r="U287">
        <f t="shared" si="25"/>
        <v>0</v>
      </c>
      <c r="V287">
        <f t="shared" si="26"/>
        <v>0</v>
      </c>
      <c r="W287">
        <f t="shared" si="27"/>
        <v>0</v>
      </c>
      <c r="X287">
        <f t="shared" si="28"/>
        <v>0</v>
      </c>
      <c r="Y287">
        <f t="shared" si="29"/>
        <v>0</v>
      </c>
    </row>
    <row r="288" spans="1:26" hidden="1" x14ac:dyDescent="0.35">
      <c r="A288">
        <v>286</v>
      </c>
      <c r="C288" t="s">
        <v>565</v>
      </c>
      <c r="D288" t="s">
        <v>566</v>
      </c>
      <c r="E288" s="1">
        <v>35677</v>
      </c>
      <c r="F288" t="s">
        <v>24</v>
      </c>
      <c r="G288">
        <v>38551</v>
      </c>
      <c r="H288">
        <v>-397.26163896435799</v>
      </c>
      <c r="I288">
        <v>6.6828139366548598</v>
      </c>
      <c r="J288">
        <v>3.97261638964358</v>
      </c>
      <c r="L288">
        <v>358.666672952505</v>
      </c>
      <c r="M288">
        <v>524.12787851186204</v>
      </c>
      <c r="N288">
        <v>5.4053932690000401</v>
      </c>
      <c r="O288">
        <v>1043.16833373232</v>
      </c>
      <c r="P288">
        <v>4.3332514207870698</v>
      </c>
      <c r="Q288">
        <v>1.02285130048406</v>
      </c>
      <c r="R288">
        <v>-230.83072000000001</v>
      </c>
      <c r="S288">
        <v>-6.77</v>
      </c>
      <c r="T288">
        <f t="shared" si="24"/>
        <v>0</v>
      </c>
      <c r="U288">
        <f t="shared" si="25"/>
        <v>0</v>
      </c>
      <c r="V288">
        <f t="shared" si="26"/>
        <v>0</v>
      </c>
      <c r="W288">
        <f t="shared" si="27"/>
        <v>0</v>
      </c>
      <c r="X288">
        <f t="shared" si="28"/>
        <v>0</v>
      </c>
      <c r="Y288">
        <f t="shared" si="29"/>
        <v>0</v>
      </c>
    </row>
    <row r="289" spans="1:26" x14ac:dyDescent="0.35">
      <c r="A289">
        <v>287</v>
      </c>
      <c r="C289" t="s">
        <v>567</v>
      </c>
      <c r="D289" t="s">
        <v>568</v>
      </c>
      <c r="E289" s="1">
        <v>35663</v>
      </c>
      <c r="F289" t="s">
        <v>24</v>
      </c>
      <c r="G289">
        <v>24875</v>
      </c>
      <c r="H289">
        <v>-567.94208791512096</v>
      </c>
      <c r="I289">
        <v>-4.7682517716912898</v>
      </c>
      <c r="J289">
        <v>5.67942087915121</v>
      </c>
      <c r="K289">
        <v>-3.7160000000000002</v>
      </c>
      <c r="L289">
        <v>-414.94098720827202</v>
      </c>
      <c r="M289">
        <v>431.67367373482898</v>
      </c>
      <c r="N289">
        <v>6.2793171469095004</v>
      </c>
      <c r="O289">
        <v>1039.2220395049001</v>
      </c>
      <c r="Q289">
        <v>0.36161521584985701</v>
      </c>
      <c r="R289">
        <v>-245.94712999999999</v>
      </c>
      <c r="S289">
        <v>-38.44</v>
      </c>
      <c r="T289">
        <f t="shared" si="24"/>
        <v>0</v>
      </c>
      <c r="U289">
        <f t="shared" si="25"/>
        <v>0</v>
      </c>
      <c r="V289">
        <f t="shared" si="26"/>
        <v>1</v>
      </c>
      <c r="W289">
        <f t="shared" si="27"/>
        <v>0</v>
      </c>
      <c r="X289">
        <f t="shared" si="28"/>
        <v>0</v>
      </c>
      <c r="Y289">
        <f t="shared" si="29"/>
        <v>1</v>
      </c>
      <c r="Z289">
        <f>SUM(T289:X289)</f>
        <v>1</v>
      </c>
    </row>
    <row r="290" spans="1:26" hidden="1" x14ac:dyDescent="0.35">
      <c r="A290">
        <v>288</v>
      </c>
      <c r="C290" t="s">
        <v>569</v>
      </c>
      <c r="D290" t="s">
        <v>184</v>
      </c>
      <c r="E290" s="1">
        <v>36115</v>
      </c>
      <c r="F290" t="s">
        <v>24</v>
      </c>
      <c r="G290">
        <v>50471</v>
      </c>
      <c r="I290">
        <v>-3.4532375071543102</v>
      </c>
      <c r="J290">
        <v>-5.7576076923286399</v>
      </c>
      <c r="K290">
        <v>5.3170000000000002</v>
      </c>
      <c r="L290">
        <v>-692.69029565009998</v>
      </c>
      <c r="M290">
        <v>651.61737088012899</v>
      </c>
      <c r="N290">
        <v>-5.0128117359482802</v>
      </c>
      <c r="O290">
        <v>968.17018319334295</v>
      </c>
      <c r="P290">
        <v>6.35662594124324</v>
      </c>
      <c r="Q290">
        <v>-1.9308671367366601</v>
      </c>
      <c r="R290">
        <v>-251.79352</v>
      </c>
      <c r="S290">
        <v>224.31</v>
      </c>
      <c r="T290">
        <f t="shared" si="24"/>
        <v>0</v>
      </c>
      <c r="U290">
        <f t="shared" si="25"/>
        <v>0</v>
      </c>
      <c r="V290">
        <f t="shared" si="26"/>
        <v>0</v>
      </c>
      <c r="W290">
        <f t="shared" si="27"/>
        <v>0</v>
      </c>
      <c r="X290">
        <f t="shared" si="28"/>
        <v>0</v>
      </c>
      <c r="Y290">
        <f t="shared" si="29"/>
        <v>0</v>
      </c>
    </row>
    <row r="291" spans="1:26" hidden="1" x14ac:dyDescent="0.35">
      <c r="A291">
        <v>289</v>
      </c>
      <c r="C291" t="s">
        <v>570</v>
      </c>
      <c r="D291" t="s">
        <v>571</v>
      </c>
      <c r="E291" s="1">
        <v>36379</v>
      </c>
      <c r="F291" t="s">
        <v>21</v>
      </c>
      <c r="G291">
        <v>25815</v>
      </c>
      <c r="H291">
        <v>-419.19535583046502</v>
      </c>
      <c r="I291">
        <v>4.8033589082586703</v>
      </c>
      <c r="J291">
        <v>4.1919535583046503</v>
      </c>
      <c r="K291">
        <v>3.7959999999999998</v>
      </c>
      <c r="L291">
        <v>253.826920081396</v>
      </c>
      <c r="M291">
        <v>557.34671077293103</v>
      </c>
      <c r="N291">
        <v>8.9481721886097798</v>
      </c>
      <c r="O291">
        <v>1063.6532365661001</v>
      </c>
      <c r="P291">
        <v>12.1181241947132</v>
      </c>
      <c r="Q291">
        <v>-0.76550987307214602</v>
      </c>
      <c r="R291">
        <v>-230.78594000000001</v>
      </c>
      <c r="S291">
        <v>-20.97</v>
      </c>
      <c r="T291">
        <f t="shared" si="24"/>
        <v>0</v>
      </c>
      <c r="U291">
        <f t="shared" si="25"/>
        <v>0</v>
      </c>
      <c r="V291">
        <f t="shared" si="26"/>
        <v>0</v>
      </c>
      <c r="W291">
        <f t="shared" si="27"/>
        <v>0</v>
      </c>
      <c r="X291">
        <f t="shared" si="28"/>
        <v>0</v>
      </c>
      <c r="Y291">
        <f t="shared" si="29"/>
        <v>0</v>
      </c>
    </row>
    <row r="292" spans="1:26" hidden="1" x14ac:dyDescent="0.35">
      <c r="A292">
        <v>290</v>
      </c>
      <c r="C292" t="s">
        <v>572</v>
      </c>
      <c r="D292" t="s">
        <v>573</v>
      </c>
      <c r="E292" s="1">
        <v>36867</v>
      </c>
      <c r="F292" t="s">
        <v>24</v>
      </c>
      <c r="G292">
        <v>37498</v>
      </c>
      <c r="H292">
        <v>715.56661940287199</v>
      </c>
      <c r="I292">
        <v>-4.1977327881998203</v>
      </c>
      <c r="J292">
        <v>-7.1556661940287203</v>
      </c>
      <c r="K292">
        <v>5.8479999999999999</v>
      </c>
      <c r="L292">
        <v>-296.61203603740603</v>
      </c>
      <c r="M292">
        <v>582.74878809713402</v>
      </c>
      <c r="N292">
        <v>-5.73769130023312</v>
      </c>
      <c r="O292">
        <v>933.58433290696905</v>
      </c>
      <c r="P292">
        <v>0.88217911981659902</v>
      </c>
      <c r="Q292">
        <v>0.72587588189659802</v>
      </c>
      <c r="R292">
        <v>-253.13532000000001</v>
      </c>
      <c r="S292">
        <v>218.04</v>
      </c>
      <c r="T292">
        <f t="shared" si="24"/>
        <v>0</v>
      </c>
      <c r="U292">
        <f t="shared" si="25"/>
        <v>0</v>
      </c>
      <c r="V292">
        <f t="shared" si="26"/>
        <v>0</v>
      </c>
      <c r="W292">
        <f t="shared" si="27"/>
        <v>0</v>
      </c>
      <c r="X292">
        <f t="shared" si="28"/>
        <v>0</v>
      </c>
      <c r="Y292">
        <f t="shared" si="29"/>
        <v>0</v>
      </c>
    </row>
    <row r="293" spans="1:26" hidden="1" x14ac:dyDescent="0.35">
      <c r="A293">
        <v>291</v>
      </c>
      <c r="C293" t="s">
        <v>574</v>
      </c>
      <c r="D293" t="s">
        <v>575</v>
      </c>
      <c r="E293" s="1">
        <v>35913</v>
      </c>
      <c r="F293" t="s">
        <v>21</v>
      </c>
      <c r="G293">
        <v>58249</v>
      </c>
      <c r="H293">
        <v>732.04633023270799</v>
      </c>
      <c r="I293">
        <v>-2.9991614028584501</v>
      </c>
      <c r="J293">
        <v>-7.32046330232708</v>
      </c>
      <c r="K293">
        <v>5.8310000000000004</v>
      </c>
      <c r="L293">
        <v>-393.43135982794502</v>
      </c>
      <c r="M293">
        <v>609.48977937369602</v>
      </c>
      <c r="N293">
        <v>-5.3696397208198698</v>
      </c>
      <c r="O293">
        <v>961.24049472255194</v>
      </c>
      <c r="P293">
        <v>2.6176455829081098</v>
      </c>
      <c r="Q293">
        <v>0.93630599996640596</v>
      </c>
      <c r="R293">
        <v>-252.96732</v>
      </c>
      <c r="S293">
        <v>194.19</v>
      </c>
      <c r="T293">
        <f t="shared" si="24"/>
        <v>0</v>
      </c>
      <c r="U293">
        <f t="shared" si="25"/>
        <v>0</v>
      </c>
      <c r="V293">
        <f t="shared" si="26"/>
        <v>0</v>
      </c>
      <c r="W293">
        <f t="shared" si="27"/>
        <v>0</v>
      </c>
      <c r="X293">
        <f t="shared" si="28"/>
        <v>0</v>
      </c>
      <c r="Y293">
        <f t="shared" si="29"/>
        <v>0</v>
      </c>
    </row>
    <row r="294" spans="1:26" hidden="1" x14ac:dyDescent="0.35">
      <c r="A294">
        <v>292</v>
      </c>
      <c r="C294" t="s">
        <v>576</v>
      </c>
      <c r="D294" t="s">
        <v>577</v>
      </c>
      <c r="E294" s="1">
        <v>35453</v>
      </c>
      <c r="F294" t="s">
        <v>21</v>
      </c>
      <c r="G294">
        <v>44841</v>
      </c>
      <c r="H294">
        <v>-461.12158807216503</v>
      </c>
      <c r="I294">
        <v>3.38747132116232</v>
      </c>
      <c r="J294">
        <v>4.6112158807216499</v>
      </c>
      <c r="K294">
        <v>5.7889999999999997</v>
      </c>
      <c r="L294">
        <v>532.11380247129705</v>
      </c>
      <c r="M294">
        <v>620.65688207418498</v>
      </c>
      <c r="N294">
        <v>3.2650631412044002</v>
      </c>
      <c r="O294">
        <v>1056.4891339733699</v>
      </c>
      <c r="P294">
        <v>7.3809859281478003</v>
      </c>
      <c r="Q294">
        <v>-0.54957309263002296</v>
      </c>
      <c r="R294">
        <v>-231.39707000000001</v>
      </c>
      <c r="S294">
        <v>9.77</v>
      </c>
      <c r="T294">
        <f t="shared" si="24"/>
        <v>0</v>
      </c>
      <c r="U294">
        <f t="shared" si="25"/>
        <v>0</v>
      </c>
      <c r="V294">
        <f t="shared" si="26"/>
        <v>0</v>
      </c>
      <c r="W294">
        <f t="shared" si="27"/>
        <v>0</v>
      </c>
      <c r="X294">
        <f t="shared" si="28"/>
        <v>0</v>
      </c>
      <c r="Y294">
        <f t="shared" si="29"/>
        <v>0</v>
      </c>
    </row>
    <row r="295" spans="1:26" hidden="1" x14ac:dyDescent="0.35">
      <c r="A295">
        <v>293</v>
      </c>
      <c r="C295" t="s">
        <v>578</v>
      </c>
      <c r="D295" t="s">
        <v>579</v>
      </c>
      <c r="E295" s="1">
        <v>36446</v>
      </c>
      <c r="F295" t="s">
        <v>24</v>
      </c>
      <c r="H295">
        <v>640.06332840429604</v>
      </c>
      <c r="I295">
        <v>4.08016451984503</v>
      </c>
      <c r="J295">
        <v>-6.4006332840429598</v>
      </c>
      <c r="K295">
        <v>3.4729999999999999</v>
      </c>
      <c r="L295">
        <v>-685.35334143780904</v>
      </c>
      <c r="M295">
        <v>443.753934100496</v>
      </c>
      <c r="N295">
        <v>2.3433620460625799</v>
      </c>
      <c r="P295">
        <v>8.2985610229797206</v>
      </c>
      <c r="Q295">
        <v>0.94272467578937702</v>
      </c>
      <c r="R295">
        <v>-247.31281999999999</v>
      </c>
      <c r="S295">
        <v>62.01</v>
      </c>
      <c r="T295">
        <f t="shared" si="24"/>
        <v>0</v>
      </c>
      <c r="U295">
        <f t="shared" si="25"/>
        <v>0</v>
      </c>
      <c r="V295">
        <f t="shared" si="26"/>
        <v>0</v>
      </c>
      <c r="W295">
        <f t="shared" si="27"/>
        <v>0</v>
      </c>
      <c r="X295">
        <f t="shared" si="28"/>
        <v>0</v>
      </c>
      <c r="Y295">
        <f t="shared" si="29"/>
        <v>0</v>
      </c>
    </row>
    <row r="296" spans="1:26" hidden="1" x14ac:dyDescent="0.35">
      <c r="A296">
        <v>294</v>
      </c>
      <c r="C296" t="s">
        <v>580</v>
      </c>
      <c r="D296" t="s">
        <v>581</v>
      </c>
      <c r="E296" s="1">
        <v>37125</v>
      </c>
      <c r="F296" t="s">
        <v>24</v>
      </c>
      <c r="G296">
        <v>53884</v>
      </c>
      <c r="H296">
        <v>691.30719273129205</v>
      </c>
      <c r="I296">
        <v>4.9705481154287803</v>
      </c>
      <c r="J296">
        <v>-6.9130719273129202</v>
      </c>
      <c r="K296">
        <v>6.0090000000000003</v>
      </c>
      <c r="L296">
        <v>-293.10048860923001</v>
      </c>
      <c r="M296">
        <v>350.38141263838497</v>
      </c>
      <c r="N296">
        <v>5.0801972409373004</v>
      </c>
      <c r="O296">
        <v>1042.7197022246</v>
      </c>
      <c r="P296">
        <v>1.7219075902327099</v>
      </c>
      <c r="Q296">
        <v>1.8701646736435401E-2</v>
      </c>
      <c r="R296">
        <v>-245.67250999999999</v>
      </c>
      <c r="S296">
        <v>-38.130000000000003</v>
      </c>
      <c r="T296">
        <f t="shared" si="24"/>
        <v>0</v>
      </c>
      <c r="U296">
        <f t="shared" si="25"/>
        <v>0</v>
      </c>
      <c r="V296">
        <f t="shared" si="26"/>
        <v>0</v>
      </c>
      <c r="W296">
        <f t="shared" si="27"/>
        <v>0</v>
      </c>
      <c r="X296">
        <f t="shared" si="28"/>
        <v>0</v>
      </c>
      <c r="Y296">
        <f t="shared" si="29"/>
        <v>0</v>
      </c>
    </row>
    <row r="297" spans="1:26" hidden="1" x14ac:dyDescent="0.35">
      <c r="A297">
        <v>295</v>
      </c>
      <c r="C297" t="s">
        <v>582</v>
      </c>
      <c r="D297" t="s">
        <v>583</v>
      </c>
      <c r="E297" s="1">
        <v>35904</v>
      </c>
      <c r="F297" t="s">
        <v>24</v>
      </c>
      <c r="G297">
        <v>28754</v>
      </c>
      <c r="H297">
        <v>342.62331694269699</v>
      </c>
      <c r="I297">
        <v>-6.3733408584434796</v>
      </c>
      <c r="J297">
        <v>-3.4262331694269701</v>
      </c>
      <c r="K297">
        <v>4.4829999999999997</v>
      </c>
      <c r="L297">
        <v>-745.55986240228697</v>
      </c>
      <c r="M297">
        <v>566.21132277331105</v>
      </c>
      <c r="O297">
        <v>956.15950578049399</v>
      </c>
      <c r="P297">
        <v>4.2872129280423303</v>
      </c>
      <c r="Q297">
        <v>0.31542834598421698</v>
      </c>
      <c r="R297">
        <v>-252.49698000000001</v>
      </c>
      <c r="S297">
        <v>193.77</v>
      </c>
      <c r="T297">
        <f t="shared" si="24"/>
        <v>0</v>
      </c>
      <c r="U297">
        <f t="shared" si="25"/>
        <v>0</v>
      </c>
      <c r="V297">
        <f t="shared" si="26"/>
        <v>0</v>
      </c>
      <c r="W297">
        <f t="shared" si="27"/>
        <v>0</v>
      </c>
      <c r="X297">
        <f t="shared" si="28"/>
        <v>0</v>
      </c>
      <c r="Y297">
        <f t="shared" si="29"/>
        <v>0</v>
      </c>
    </row>
    <row r="298" spans="1:26" hidden="1" x14ac:dyDescent="0.35">
      <c r="A298">
        <v>296</v>
      </c>
      <c r="C298" t="s">
        <v>584</v>
      </c>
      <c r="D298" t="s">
        <v>585</v>
      </c>
      <c r="E298" s="1">
        <v>36363</v>
      </c>
      <c r="F298" t="s">
        <v>24</v>
      </c>
      <c r="G298">
        <v>43447</v>
      </c>
      <c r="H298">
        <v>-447.12858663814598</v>
      </c>
      <c r="I298">
        <v>-3.8666511387346798</v>
      </c>
      <c r="J298">
        <v>4.4712858663814599</v>
      </c>
      <c r="K298">
        <v>-3.67</v>
      </c>
      <c r="L298">
        <v>-617.03881825705002</v>
      </c>
      <c r="M298">
        <v>427.79649632412099</v>
      </c>
      <c r="N298">
        <v>4.36232676333701</v>
      </c>
      <c r="O298">
        <v>1056.2499197653101</v>
      </c>
      <c r="P298">
        <v>10.5444458839055</v>
      </c>
      <c r="Q298">
        <v>-0.44702356254131598</v>
      </c>
      <c r="R298">
        <v>-248.32283000000001</v>
      </c>
      <c r="S298">
        <v>-36.64</v>
      </c>
      <c r="T298">
        <f t="shared" si="24"/>
        <v>0</v>
      </c>
      <c r="U298">
        <f t="shared" si="25"/>
        <v>0</v>
      </c>
      <c r="V298">
        <f t="shared" si="26"/>
        <v>0</v>
      </c>
      <c r="W298">
        <f t="shared" si="27"/>
        <v>0</v>
      </c>
      <c r="X298">
        <f t="shared" si="28"/>
        <v>0</v>
      </c>
      <c r="Y298">
        <f t="shared" si="29"/>
        <v>0</v>
      </c>
    </row>
    <row r="299" spans="1:26" hidden="1" x14ac:dyDescent="0.35">
      <c r="A299">
        <v>297</v>
      </c>
      <c r="C299" t="s">
        <v>586</v>
      </c>
      <c r="D299" t="s">
        <v>587</v>
      </c>
      <c r="E299" s="1">
        <v>35699</v>
      </c>
      <c r="F299" t="s">
        <v>21</v>
      </c>
      <c r="G299">
        <v>59613</v>
      </c>
      <c r="H299">
        <v>652.34588744046698</v>
      </c>
      <c r="I299">
        <v>4.4289985249339603</v>
      </c>
      <c r="J299">
        <v>-6.5234588744046604</v>
      </c>
      <c r="K299">
        <v>4.8730000000000002</v>
      </c>
      <c r="L299">
        <v>-706.41768269765203</v>
      </c>
      <c r="M299">
        <v>399.78031670479402</v>
      </c>
      <c r="N299">
        <v>1.4826931502909599</v>
      </c>
      <c r="O299">
        <v>1070.34080994037</v>
      </c>
      <c r="P299">
        <v>4.4048961338091104</v>
      </c>
      <c r="Q299">
        <v>-1.33823390640381</v>
      </c>
      <c r="R299">
        <v>-247.97136</v>
      </c>
      <c r="S299">
        <v>15.74</v>
      </c>
      <c r="T299">
        <f t="shared" si="24"/>
        <v>0</v>
      </c>
      <c r="U299">
        <f t="shared" si="25"/>
        <v>0</v>
      </c>
      <c r="V299">
        <f t="shared" si="26"/>
        <v>0</v>
      </c>
      <c r="W299">
        <f t="shared" si="27"/>
        <v>0</v>
      </c>
      <c r="X299">
        <f t="shared" si="28"/>
        <v>0</v>
      </c>
      <c r="Y299">
        <f t="shared" si="29"/>
        <v>0</v>
      </c>
    </row>
    <row r="300" spans="1:26" hidden="1" x14ac:dyDescent="0.35">
      <c r="A300">
        <v>298</v>
      </c>
      <c r="C300" t="s">
        <v>76</v>
      </c>
      <c r="D300" t="s">
        <v>588</v>
      </c>
      <c r="E300" s="1">
        <v>35755</v>
      </c>
      <c r="F300" t="s">
        <v>21</v>
      </c>
      <c r="G300">
        <v>44498</v>
      </c>
      <c r="H300">
        <v>606.71569684821804</v>
      </c>
      <c r="I300">
        <v>5.0045132273477799</v>
      </c>
      <c r="J300">
        <v>-6.0671569684821796</v>
      </c>
      <c r="K300">
        <v>5.109</v>
      </c>
      <c r="L300">
        <v>-540.51534173485595</v>
      </c>
      <c r="M300">
        <v>394.79605913130598</v>
      </c>
      <c r="N300">
        <v>3.4263885293638801</v>
      </c>
      <c r="O300">
        <v>1054.7473489834499</v>
      </c>
      <c r="P300">
        <v>4.6985409694115798</v>
      </c>
      <c r="Q300">
        <v>-0.149481139934657</v>
      </c>
      <c r="R300">
        <v>-245.46342000000001</v>
      </c>
      <c r="S300">
        <v>17.46</v>
      </c>
      <c r="T300">
        <f t="shared" si="24"/>
        <v>0</v>
      </c>
      <c r="U300">
        <f t="shared" si="25"/>
        <v>0</v>
      </c>
      <c r="V300">
        <f t="shared" si="26"/>
        <v>0</v>
      </c>
      <c r="W300">
        <f t="shared" si="27"/>
        <v>0</v>
      </c>
      <c r="X300">
        <f t="shared" si="28"/>
        <v>0</v>
      </c>
      <c r="Y300">
        <f t="shared" si="29"/>
        <v>0</v>
      </c>
    </row>
    <row r="301" spans="1:26" hidden="1" x14ac:dyDescent="0.35">
      <c r="A301">
        <v>299</v>
      </c>
      <c r="C301" t="s">
        <v>589</v>
      </c>
      <c r="D301" t="s">
        <v>590</v>
      </c>
      <c r="E301" s="1">
        <v>36788</v>
      </c>
      <c r="F301" t="s">
        <v>24</v>
      </c>
      <c r="G301">
        <v>48128</v>
      </c>
      <c r="H301">
        <v>529.01303161056398</v>
      </c>
      <c r="I301">
        <v>6.1444341511970997</v>
      </c>
      <c r="J301">
        <v>-5.2901303161056399</v>
      </c>
      <c r="K301">
        <v>4.5110000000000001</v>
      </c>
      <c r="L301">
        <v>-454.09017850329701</v>
      </c>
      <c r="M301">
        <v>354.58666917652101</v>
      </c>
      <c r="N301">
        <v>6.7506606271218796</v>
      </c>
      <c r="O301">
        <v>1047.32040638645</v>
      </c>
      <c r="P301">
        <v>4.1657010705641797</v>
      </c>
      <c r="Q301">
        <v>1.61280449881176</v>
      </c>
      <c r="R301">
        <v>-244.10968</v>
      </c>
      <c r="S301">
        <v>-32.17</v>
      </c>
      <c r="T301">
        <f t="shared" si="24"/>
        <v>0</v>
      </c>
      <c r="U301">
        <f t="shared" si="25"/>
        <v>0</v>
      </c>
      <c r="V301">
        <f t="shared" si="26"/>
        <v>0</v>
      </c>
      <c r="W301">
        <f t="shared" si="27"/>
        <v>0</v>
      </c>
      <c r="X301">
        <f t="shared" si="28"/>
        <v>0</v>
      </c>
      <c r="Y301">
        <f t="shared" si="29"/>
        <v>0</v>
      </c>
    </row>
    <row r="302" spans="1:26" hidden="1" x14ac:dyDescent="0.35">
      <c r="A302">
        <v>300</v>
      </c>
      <c r="C302" t="s">
        <v>591</v>
      </c>
      <c r="D302" t="s">
        <v>592</v>
      </c>
      <c r="E302" s="1">
        <v>35758</v>
      </c>
      <c r="F302" t="s">
        <v>21</v>
      </c>
      <c r="G302">
        <v>59239</v>
      </c>
      <c r="H302">
        <v>495.424971629825</v>
      </c>
      <c r="I302">
        <v>4.2871856911391699</v>
      </c>
      <c r="J302">
        <v>-4.95424971629825</v>
      </c>
      <c r="K302">
        <v>4.6879999999999997</v>
      </c>
      <c r="L302">
        <v>-728.76144567773804</v>
      </c>
      <c r="M302">
        <v>450.77197525705498</v>
      </c>
      <c r="N302">
        <v>5.66114711707921</v>
      </c>
      <c r="O302">
        <v>1062.8088283315701</v>
      </c>
      <c r="P302">
        <v>8.7725604400717998</v>
      </c>
      <c r="Q302">
        <v>-0.41104386519397101</v>
      </c>
      <c r="R302">
        <v>-244.88115999999999</v>
      </c>
      <c r="S302">
        <v>-1.33</v>
      </c>
      <c r="T302">
        <f t="shared" si="24"/>
        <v>0</v>
      </c>
      <c r="U302">
        <f t="shared" si="25"/>
        <v>0</v>
      </c>
      <c r="V302">
        <f t="shared" si="26"/>
        <v>0</v>
      </c>
      <c r="W302">
        <f t="shared" si="27"/>
        <v>0</v>
      </c>
      <c r="X302">
        <f t="shared" si="28"/>
        <v>0</v>
      </c>
      <c r="Y302">
        <f t="shared" si="29"/>
        <v>0</v>
      </c>
    </row>
    <row r="303" spans="1:26" hidden="1" x14ac:dyDescent="0.35">
      <c r="A303">
        <v>301</v>
      </c>
      <c r="C303" t="s">
        <v>593</v>
      </c>
      <c r="D303" t="s">
        <v>594</v>
      </c>
      <c r="E303" s="1">
        <v>36468</v>
      </c>
      <c r="F303" t="s">
        <v>24</v>
      </c>
      <c r="G303">
        <v>57192</v>
      </c>
      <c r="H303">
        <v>579.56140660629501</v>
      </c>
      <c r="I303">
        <v>5.4339454730421801</v>
      </c>
      <c r="J303">
        <v>-5.7956140660629503</v>
      </c>
      <c r="K303">
        <v>4.17</v>
      </c>
      <c r="L303">
        <v>-595.67563069157302</v>
      </c>
      <c r="M303">
        <v>338.99720120329101</v>
      </c>
      <c r="N303">
        <v>5.0898434956994896</v>
      </c>
      <c r="O303">
        <v>1066.63948027935</v>
      </c>
      <c r="P303">
        <v>3.8665854838855398</v>
      </c>
      <c r="Q303">
        <v>-0.61060445404389296</v>
      </c>
      <c r="R303">
        <v>-246.54778999999999</v>
      </c>
      <c r="S303">
        <v>-42.33</v>
      </c>
      <c r="T303">
        <f t="shared" si="24"/>
        <v>0</v>
      </c>
      <c r="U303">
        <f t="shared" si="25"/>
        <v>0</v>
      </c>
      <c r="V303">
        <f t="shared" si="26"/>
        <v>0</v>
      </c>
      <c r="W303">
        <f t="shared" si="27"/>
        <v>0</v>
      </c>
      <c r="X303">
        <f t="shared" si="28"/>
        <v>0</v>
      </c>
      <c r="Y303">
        <f t="shared" si="29"/>
        <v>0</v>
      </c>
    </row>
    <row r="304" spans="1:26" x14ac:dyDescent="0.35">
      <c r="A304">
        <v>302</v>
      </c>
      <c r="C304" t="s">
        <v>595</v>
      </c>
      <c r="D304" t="s">
        <v>596</v>
      </c>
      <c r="E304" s="1">
        <v>36837</v>
      </c>
      <c r="F304" t="s">
        <v>24</v>
      </c>
      <c r="G304">
        <v>35524</v>
      </c>
      <c r="H304">
        <v>826.52740983067599</v>
      </c>
      <c r="I304">
        <v>3.82851451401151</v>
      </c>
      <c r="J304">
        <v>-8.2652740983067599</v>
      </c>
      <c r="K304">
        <v>7.4129999999999896</v>
      </c>
      <c r="L304">
        <v>-757.75635940700704</v>
      </c>
      <c r="M304">
        <v>444.55937839283399</v>
      </c>
      <c r="N304">
        <v>6.3298292567217</v>
      </c>
      <c r="O304">
        <v>1063.62724962932</v>
      </c>
      <c r="Q304">
        <v>-0.68023690983316198</v>
      </c>
      <c r="R304">
        <v>-244.35225</v>
      </c>
      <c r="S304">
        <v>21.21</v>
      </c>
      <c r="T304">
        <f t="shared" si="24"/>
        <v>0</v>
      </c>
      <c r="U304">
        <f t="shared" si="25"/>
        <v>0</v>
      </c>
      <c r="V304">
        <f t="shared" si="26"/>
        <v>1</v>
      </c>
      <c r="W304">
        <f t="shared" si="27"/>
        <v>0</v>
      </c>
      <c r="X304">
        <f t="shared" si="28"/>
        <v>0</v>
      </c>
      <c r="Y304">
        <f t="shared" si="29"/>
        <v>1</v>
      </c>
      <c r="Z304">
        <f>SUM(T304:X304)</f>
        <v>1</v>
      </c>
    </row>
    <row r="305" spans="1:26" hidden="1" x14ac:dyDescent="0.35">
      <c r="A305">
        <v>303</v>
      </c>
      <c r="C305" t="s">
        <v>597</v>
      </c>
      <c r="D305" t="s">
        <v>598</v>
      </c>
      <c r="E305" s="1">
        <v>35642</v>
      </c>
      <c r="F305" t="s">
        <v>21</v>
      </c>
      <c r="G305">
        <v>58131</v>
      </c>
      <c r="H305">
        <v>196.35329277223499</v>
      </c>
      <c r="I305">
        <v>6.9262289762024603</v>
      </c>
      <c r="J305">
        <v>-1.9635329277223501</v>
      </c>
      <c r="K305">
        <v>5.782</v>
      </c>
      <c r="L305">
        <v>-732.80236923176597</v>
      </c>
      <c r="M305">
        <v>401.18738343174499</v>
      </c>
      <c r="N305">
        <v>6.9949408682822396</v>
      </c>
      <c r="O305">
        <v>1060.9561123797</v>
      </c>
      <c r="P305">
        <v>5.3141659796403502</v>
      </c>
      <c r="Q305">
        <v>-0.86066093004914301</v>
      </c>
      <c r="R305">
        <v>-240.14416</v>
      </c>
      <c r="S305">
        <v>-36.979999999999997</v>
      </c>
      <c r="T305">
        <f t="shared" si="24"/>
        <v>0</v>
      </c>
      <c r="U305">
        <f t="shared" si="25"/>
        <v>0</v>
      </c>
      <c r="V305">
        <f t="shared" si="26"/>
        <v>0</v>
      </c>
      <c r="W305">
        <f t="shared" si="27"/>
        <v>0</v>
      </c>
      <c r="X305">
        <f t="shared" si="28"/>
        <v>0</v>
      </c>
      <c r="Y305">
        <f t="shared" si="29"/>
        <v>0</v>
      </c>
    </row>
    <row r="306" spans="1:26" x14ac:dyDescent="0.35">
      <c r="A306">
        <v>304</v>
      </c>
      <c r="C306" t="s">
        <v>599</v>
      </c>
      <c r="D306" t="s">
        <v>600</v>
      </c>
      <c r="E306" s="1">
        <v>36553</v>
      </c>
      <c r="F306" t="s">
        <v>24</v>
      </c>
      <c r="G306">
        <v>48306</v>
      </c>
      <c r="H306">
        <v>-679.01828597999997</v>
      </c>
      <c r="I306">
        <v>4.3006524421296604</v>
      </c>
      <c r="J306">
        <v>6.7901828597999998</v>
      </c>
      <c r="K306">
        <v>3.7919999999999998</v>
      </c>
      <c r="L306">
        <v>681.48463954515603</v>
      </c>
      <c r="M306">
        <v>560.26599750942501</v>
      </c>
      <c r="N306">
        <v>4.1384502505791501</v>
      </c>
      <c r="O306">
        <v>1064.6809210625499</v>
      </c>
      <c r="Q306">
        <v>-6.6291840589786696E-2</v>
      </c>
      <c r="R306">
        <v>-230.82474999999999</v>
      </c>
      <c r="S306">
        <v>-40.15</v>
      </c>
      <c r="T306">
        <f t="shared" si="24"/>
        <v>0</v>
      </c>
      <c r="U306">
        <f t="shared" si="25"/>
        <v>0</v>
      </c>
      <c r="V306">
        <f t="shared" si="26"/>
        <v>1</v>
      </c>
      <c r="W306">
        <f t="shared" si="27"/>
        <v>0</v>
      </c>
      <c r="X306">
        <f t="shared" si="28"/>
        <v>0</v>
      </c>
      <c r="Y306">
        <f t="shared" si="29"/>
        <v>1</v>
      </c>
      <c r="Z306">
        <f>SUM(T306:X306)</f>
        <v>1</v>
      </c>
    </row>
    <row r="307" spans="1:26" hidden="1" x14ac:dyDescent="0.35">
      <c r="A307">
        <v>305</v>
      </c>
      <c r="C307" t="s">
        <v>601</v>
      </c>
      <c r="D307" t="s">
        <v>206</v>
      </c>
      <c r="E307" s="1">
        <v>36081</v>
      </c>
      <c r="F307" t="s">
        <v>24</v>
      </c>
      <c r="G307">
        <v>38288</v>
      </c>
      <c r="H307">
        <v>-413.866759093881</v>
      </c>
      <c r="I307">
        <v>-6.4380930323710803</v>
      </c>
      <c r="J307">
        <v>4.1386675909388098</v>
      </c>
      <c r="K307">
        <v>-6.1909999999999998</v>
      </c>
      <c r="L307">
        <v>-561.71382284425897</v>
      </c>
      <c r="M307">
        <v>401.93978878516799</v>
      </c>
      <c r="N307">
        <v>4.9248643484258698</v>
      </c>
      <c r="O307">
        <v>1076.4958327377999</v>
      </c>
      <c r="P307">
        <v>13.378077536063699</v>
      </c>
      <c r="Q307">
        <v>0.20363390196885001</v>
      </c>
      <c r="R307">
        <v>-251.52742000000001</v>
      </c>
      <c r="S307">
        <v>-67.58</v>
      </c>
      <c r="T307">
        <f t="shared" si="24"/>
        <v>0</v>
      </c>
      <c r="U307">
        <f t="shared" si="25"/>
        <v>0</v>
      </c>
      <c r="V307">
        <f t="shared" si="26"/>
        <v>0</v>
      </c>
      <c r="W307">
        <f t="shared" si="27"/>
        <v>0</v>
      </c>
      <c r="X307">
        <f t="shared" si="28"/>
        <v>0</v>
      </c>
      <c r="Y307">
        <f t="shared" si="29"/>
        <v>0</v>
      </c>
    </row>
    <row r="308" spans="1:26" hidden="1" x14ac:dyDescent="0.35">
      <c r="A308">
        <v>306</v>
      </c>
      <c r="C308" t="s">
        <v>124</v>
      </c>
      <c r="D308" t="s">
        <v>602</v>
      </c>
      <c r="E308" s="1">
        <v>35512</v>
      </c>
      <c r="F308" t="s">
        <v>24</v>
      </c>
      <c r="G308">
        <v>57198</v>
      </c>
      <c r="H308">
        <v>474.72681635914103</v>
      </c>
      <c r="I308">
        <v>1.1476181343485601</v>
      </c>
      <c r="J308">
        <v>-4.7472681635914098</v>
      </c>
      <c r="K308">
        <v>5.6529999999999996</v>
      </c>
      <c r="L308">
        <v>-828.11659786789403</v>
      </c>
      <c r="M308">
        <v>478.44142970652803</v>
      </c>
      <c r="N308">
        <v>1.4286730106816701</v>
      </c>
      <c r="O308">
        <v>1079.5390683502801</v>
      </c>
      <c r="P308">
        <v>8.6324397022510908</v>
      </c>
      <c r="Q308">
        <v>1.47803019718872</v>
      </c>
      <c r="R308">
        <v>-246.81784999999999</v>
      </c>
      <c r="S308">
        <v>23.8</v>
      </c>
      <c r="T308">
        <f t="shared" si="24"/>
        <v>0</v>
      </c>
      <c r="U308">
        <f t="shared" si="25"/>
        <v>0</v>
      </c>
      <c r="V308">
        <f t="shared" si="26"/>
        <v>0</v>
      </c>
      <c r="W308">
        <f t="shared" si="27"/>
        <v>0</v>
      </c>
      <c r="X308">
        <f t="shared" si="28"/>
        <v>0</v>
      </c>
      <c r="Y308">
        <f t="shared" si="29"/>
        <v>0</v>
      </c>
    </row>
    <row r="309" spans="1:26" hidden="1" x14ac:dyDescent="0.35">
      <c r="A309">
        <v>307</v>
      </c>
      <c r="C309" t="s">
        <v>603</v>
      </c>
      <c r="D309" t="s">
        <v>604</v>
      </c>
      <c r="E309" s="1">
        <v>35550</v>
      </c>
      <c r="F309" t="s">
        <v>21</v>
      </c>
      <c r="G309">
        <v>12871</v>
      </c>
      <c r="H309">
        <v>-347.91325068731902</v>
      </c>
      <c r="I309">
        <v>6.24934266456453</v>
      </c>
      <c r="J309">
        <v>3.47913250687319</v>
      </c>
      <c r="K309">
        <v>4.7169999999999996</v>
      </c>
      <c r="L309">
        <v>671.81628089175297</v>
      </c>
      <c r="M309">
        <v>553.77884399476704</v>
      </c>
      <c r="N309">
        <v>4.6077894713686796</v>
      </c>
      <c r="O309">
        <v>1073.3118726539001</v>
      </c>
      <c r="P309">
        <v>8.4201808050653995</v>
      </c>
      <c r="Q309">
        <v>-1.1270182150971499</v>
      </c>
      <c r="R309">
        <v>-229.44915</v>
      </c>
      <c r="S309">
        <v>18.61</v>
      </c>
      <c r="T309">
        <f t="shared" si="24"/>
        <v>0</v>
      </c>
      <c r="U309">
        <f t="shared" si="25"/>
        <v>0</v>
      </c>
      <c r="V309">
        <f t="shared" si="26"/>
        <v>0</v>
      </c>
      <c r="W309">
        <f t="shared" si="27"/>
        <v>0</v>
      </c>
      <c r="X309">
        <f t="shared" si="28"/>
        <v>0</v>
      </c>
      <c r="Y309">
        <f t="shared" si="29"/>
        <v>0</v>
      </c>
    </row>
    <row r="310" spans="1:26" hidden="1" x14ac:dyDescent="0.35">
      <c r="A310">
        <v>308</v>
      </c>
      <c r="C310" t="s">
        <v>605</v>
      </c>
      <c r="D310" t="s">
        <v>606</v>
      </c>
      <c r="E310" s="1">
        <v>35778</v>
      </c>
      <c r="F310" t="s">
        <v>24</v>
      </c>
      <c r="G310">
        <v>82041</v>
      </c>
      <c r="H310">
        <v>416.55051071746499</v>
      </c>
      <c r="I310">
        <v>4.8039522825810499</v>
      </c>
      <c r="J310">
        <v>-4.1655051071746501</v>
      </c>
      <c r="K310">
        <v>5.1139999999999999</v>
      </c>
      <c r="L310">
        <v>-715.32502839746996</v>
      </c>
      <c r="M310">
        <v>421.57219226820303</v>
      </c>
      <c r="N310">
        <v>2.21756065226226</v>
      </c>
      <c r="O310">
        <v>1071.3534883354801</v>
      </c>
      <c r="P310">
        <v>3.4234840905997901</v>
      </c>
      <c r="Q310">
        <v>1.29150609173929</v>
      </c>
      <c r="R310">
        <v>-246.30753000000001</v>
      </c>
      <c r="S310">
        <v>-21.16</v>
      </c>
      <c r="T310">
        <f t="shared" si="24"/>
        <v>0</v>
      </c>
      <c r="U310">
        <f t="shared" si="25"/>
        <v>0</v>
      </c>
      <c r="V310">
        <f t="shared" si="26"/>
        <v>0</v>
      </c>
      <c r="W310">
        <f t="shared" si="27"/>
        <v>0</v>
      </c>
      <c r="X310">
        <f t="shared" si="28"/>
        <v>0</v>
      </c>
      <c r="Y310">
        <f t="shared" si="29"/>
        <v>0</v>
      </c>
    </row>
    <row r="311" spans="1:26" hidden="1" x14ac:dyDescent="0.35">
      <c r="A311">
        <v>309</v>
      </c>
      <c r="C311" t="s">
        <v>580</v>
      </c>
      <c r="D311" t="s">
        <v>607</v>
      </c>
      <c r="E311" s="1">
        <v>36652</v>
      </c>
      <c r="F311" t="s">
        <v>21</v>
      </c>
      <c r="G311">
        <v>65575</v>
      </c>
      <c r="H311">
        <v>-451.73705989263499</v>
      </c>
      <c r="I311">
        <v>-3.0921110234859501</v>
      </c>
      <c r="J311">
        <v>4.51737059892635</v>
      </c>
      <c r="K311">
        <v>-4.74</v>
      </c>
      <c r="L311">
        <v>-287.09348947197299</v>
      </c>
      <c r="N311">
        <v>3.8879626576686799</v>
      </c>
      <c r="O311">
        <v>1005.1652193119399</v>
      </c>
      <c r="P311">
        <v>6.5007512311303302</v>
      </c>
      <c r="R311">
        <v>-249.64231000000001</v>
      </c>
      <c r="S311">
        <v>-16.52</v>
      </c>
      <c r="T311">
        <f t="shared" si="24"/>
        <v>0</v>
      </c>
      <c r="U311">
        <f t="shared" si="25"/>
        <v>0</v>
      </c>
      <c r="V311">
        <f t="shared" si="26"/>
        <v>0</v>
      </c>
      <c r="W311">
        <f t="shared" si="27"/>
        <v>0</v>
      </c>
      <c r="X311">
        <f t="shared" si="28"/>
        <v>0</v>
      </c>
      <c r="Y311">
        <f t="shared" si="29"/>
        <v>0</v>
      </c>
    </row>
    <row r="312" spans="1:26" hidden="1" x14ac:dyDescent="0.35">
      <c r="A312">
        <v>310</v>
      </c>
      <c r="C312" t="s">
        <v>608</v>
      </c>
      <c r="D312" t="s">
        <v>609</v>
      </c>
      <c r="E312" s="1">
        <v>36967</v>
      </c>
      <c r="F312" t="s">
        <v>24</v>
      </c>
      <c r="G312">
        <v>44345</v>
      </c>
      <c r="H312">
        <v>410.44405169830702</v>
      </c>
      <c r="I312">
        <v>7.1553867434861296</v>
      </c>
      <c r="J312">
        <v>-4.10444051698307</v>
      </c>
      <c r="K312">
        <v>5.4569999999999999</v>
      </c>
      <c r="L312">
        <v>-533.75176860982594</v>
      </c>
      <c r="M312">
        <v>377.89817799194998</v>
      </c>
      <c r="N312">
        <v>6.7418063572961504</v>
      </c>
      <c r="O312">
        <v>1047.7768972030501</v>
      </c>
      <c r="P312">
        <v>4.4955132328276104</v>
      </c>
      <c r="Q312">
        <v>-2.35288307498426</v>
      </c>
      <c r="R312">
        <v>-241.41739000000001</v>
      </c>
      <c r="S312">
        <v>-15.23</v>
      </c>
      <c r="T312">
        <f t="shared" si="24"/>
        <v>0</v>
      </c>
      <c r="U312">
        <f t="shared" si="25"/>
        <v>0</v>
      </c>
      <c r="V312">
        <f t="shared" si="26"/>
        <v>0</v>
      </c>
      <c r="W312">
        <f t="shared" si="27"/>
        <v>0</v>
      </c>
      <c r="X312">
        <f t="shared" si="28"/>
        <v>0</v>
      </c>
      <c r="Y312">
        <f t="shared" si="29"/>
        <v>0</v>
      </c>
    </row>
    <row r="313" spans="1:26" hidden="1" x14ac:dyDescent="0.35">
      <c r="A313">
        <v>311</v>
      </c>
      <c r="C313" t="s">
        <v>610</v>
      </c>
      <c r="D313" t="s">
        <v>611</v>
      </c>
      <c r="E313" s="1">
        <v>36616</v>
      </c>
      <c r="F313" t="s">
        <v>21</v>
      </c>
      <c r="G313">
        <v>39443</v>
      </c>
      <c r="H313">
        <v>497.44650889443</v>
      </c>
      <c r="I313">
        <v>4.5543767830490802</v>
      </c>
      <c r="J313">
        <v>-4.9744650889443003</v>
      </c>
      <c r="K313">
        <v>5.9029999999999996</v>
      </c>
      <c r="L313">
        <v>-612.80178504134301</v>
      </c>
      <c r="M313">
        <v>415.17439590180601</v>
      </c>
      <c r="N313">
        <v>3.0212972182150599</v>
      </c>
      <c r="O313">
        <v>1056.9955565600101</v>
      </c>
      <c r="P313">
        <v>5.2927503887355698</v>
      </c>
      <c r="Q313">
        <v>0.678470336846551</v>
      </c>
      <c r="R313">
        <v>-243.92371</v>
      </c>
      <c r="S313">
        <v>28.47</v>
      </c>
      <c r="T313">
        <f t="shared" si="24"/>
        <v>0</v>
      </c>
      <c r="U313">
        <f t="shared" si="25"/>
        <v>0</v>
      </c>
      <c r="V313">
        <f t="shared" si="26"/>
        <v>0</v>
      </c>
      <c r="W313">
        <f t="shared" si="27"/>
        <v>0</v>
      </c>
      <c r="X313">
        <f t="shared" si="28"/>
        <v>0</v>
      </c>
      <c r="Y313">
        <f t="shared" si="29"/>
        <v>0</v>
      </c>
    </row>
    <row r="314" spans="1:26" hidden="1" x14ac:dyDescent="0.35">
      <c r="A314">
        <v>312</v>
      </c>
      <c r="C314" t="s">
        <v>612</v>
      </c>
      <c r="D314" t="s">
        <v>613</v>
      </c>
      <c r="E314" s="1">
        <v>36844</v>
      </c>
      <c r="F314" t="s">
        <v>24</v>
      </c>
      <c r="G314">
        <v>52473</v>
      </c>
      <c r="H314">
        <v>414.42012119815098</v>
      </c>
      <c r="I314">
        <v>6.6859499172286103</v>
      </c>
      <c r="J314">
        <v>-4.1442012119815104</v>
      </c>
      <c r="K314">
        <v>4.2699999999999996</v>
      </c>
      <c r="L314">
        <v>-379.44181380408003</v>
      </c>
      <c r="M314">
        <v>342.49227926850801</v>
      </c>
      <c r="N314">
        <v>2.8728999202447199</v>
      </c>
      <c r="O314">
        <v>1044.78914373405</v>
      </c>
      <c r="P314">
        <v>-0.18406581842445499</v>
      </c>
      <c r="Q314">
        <v>0.69814117199133796</v>
      </c>
      <c r="R314">
        <v>-244.66036</v>
      </c>
      <c r="S314">
        <v>-8.2200000000000006</v>
      </c>
      <c r="T314">
        <f t="shared" si="24"/>
        <v>0</v>
      </c>
      <c r="U314">
        <f t="shared" si="25"/>
        <v>0</v>
      </c>
      <c r="V314">
        <f t="shared" si="26"/>
        <v>0</v>
      </c>
      <c r="W314">
        <f t="shared" si="27"/>
        <v>0</v>
      </c>
      <c r="X314">
        <f t="shared" si="28"/>
        <v>0</v>
      </c>
      <c r="Y314">
        <f t="shared" si="29"/>
        <v>0</v>
      </c>
    </row>
    <row r="315" spans="1:26" hidden="1" x14ac:dyDescent="0.35">
      <c r="A315">
        <v>313</v>
      </c>
      <c r="C315" t="s">
        <v>614</v>
      </c>
      <c r="D315" t="s">
        <v>615</v>
      </c>
      <c r="E315" s="1">
        <v>35650</v>
      </c>
      <c r="F315" t="s">
        <v>21</v>
      </c>
      <c r="G315">
        <v>51132</v>
      </c>
      <c r="H315">
        <v>161.92964948978801</v>
      </c>
      <c r="I315">
        <v>-5.8676125562994299</v>
      </c>
      <c r="J315">
        <v>-1.6192964948978801</v>
      </c>
      <c r="K315">
        <v>4.133</v>
      </c>
      <c r="L315">
        <v>-624.56205509226402</v>
      </c>
      <c r="M315">
        <v>629.58054607907104</v>
      </c>
      <c r="N315">
        <v>-5.3553023151355497</v>
      </c>
      <c r="O315">
        <v>967.34125764142595</v>
      </c>
      <c r="P315">
        <v>4.7403490518263798</v>
      </c>
      <c r="Q315">
        <v>5.55283112207706E-2</v>
      </c>
      <c r="R315">
        <v>-251.09125</v>
      </c>
      <c r="S315">
        <v>183.88</v>
      </c>
      <c r="T315">
        <f t="shared" si="24"/>
        <v>0</v>
      </c>
      <c r="U315">
        <f t="shared" si="25"/>
        <v>0</v>
      </c>
      <c r="V315">
        <f t="shared" si="26"/>
        <v>0</v>
      </c>
      <c r="W315">
        <f t="shared" si="27"/>
        <v>0</v>
      </c>
      <c r="X315">
        <f t="shared" si="28"/>
        <v>0</v>
      </c>
      <c r="Y315">
        <f t="shared" si="29"/>
        <v>0</v>
      </c>
    </row>
    <row r="316" spans="1:26" hidden="1" x14ac:dyDescent="0.35">
      <c r="A316">
        <v>314</v>
      </c>
      <c r="C316" t="s">
        <v>616</v>
      </c>
      <c r="D316" t="s">
        <v>617</v>
      </c>
      <c r="E316" s="1">
        <v>36857</v>
      </c>
      <c r="F316" t="s">
        <v>21</v>
      </c>
      <c r="G316">
        <v>29023</v>
      </c>
      <c r="H316">
        <v>-504.43161346491598</v>
      </c>
      <c r="I316">
        <v>6.3215176735139602</v>
      </c>
      <c r="J316">
        <v>5.0443161346491596</v>
      </c>
      <c r="K316">
        <v>4.9660000000000002</v>
      </c>
      <c r="L316">
        <v>607.20664884664802</v>
      </c>
      <c r="M316">
        <v>566.18850368034805</v>
      </c>
      <c r="N316">
        <v>3.4308578237363201</v>
      </c>
      <c r="O316">
        <v>1070.4221153819101</v>
      </c>
      <c r="P316">
        <v>6.3740620375321999</v>
      </c>
      <c r="Q316">
        <v>0.37293762133438702</v>
      </c>
      <c r="R316">
        <v>-229.27227999999999</v>
      </c>
      <c r="S316">
        <v>11.58</v>
      </c>
      <c r="T316">
        <f t="shared" si="24"/>
        <v>0</v>
      </c>
      <c r="U316">
        <f t="shared" si="25"/>
        <v>0</v>
      </c>
      <c r="V316">
        <f t="shared" si="26"/>
        <v>0</v>
      </c>
      <c r="W316">
        <f t="shared" si="27"/>
        <v>0</v>
      </c>
      <c r="X316">
        <f t="shared" si="28"/>
        <v>0</v>
      </c>
      <c r="Y316">
        <f t="shared" si="29"/>
        <v>0</v>
      </c>
    </row>
    <row r="317" spans="1:26" hidden="1" x14ac:dyDescent="0.35">
      <c r="A317">
        <v>315</v>
      </c>
      <c r="C317" t="s">
        <v>618</v>
      </c>
      <c r="D317" t="s">
        <v>619</v>
      </c>
      <c r="E317" s="1">
        <v>35637</v>
      </c>
      <c r="F317" t="s">
        <v>24</v>
      </c>
      <c r="G317">
        <v>62592</v>
      </c>
      <c r="H317">
        <v>424.18881243250399</v>
      </c>
      <c r="I317">
        <v>6.3211988520276696</v>
      </c>
      <c r="J317">
        <v>-4.2418881243250404</v>
      </c>
      <c r="K317">
        <v>5.0819999999999999</v>
      </c>
      <c r="L317">
        <v>-656.49155223889602</v>
      </c>
      <c r="M317">
        <v>404.77622425202202</v>
      </c>
      <c r="N317">
        <v>1.8425002689661401</v>
      </c>
      <c r="P317">
        <v>2.6677265382291901</v>
      </c>
      <c r="Q317">
        <v>-0.61662719611293004</v>
      </c>
      <c r="R317">
        <v>-244.74546000000001</v>
      </c>
      <c r="S317">
        <v>14.36</v>
      </c>
      <c r="T317">
        <f t="shared" si="24"/>
        <v>0</v>
      </c>
      <c r="U317">
        <f t="shared" si="25"/>
        <v>0</v>
      </c>
      <c r="V317">
        <f t="shared" si="26"/>
        <v>0</v>
      </c>
      <c r="W317">
        <f t="shared" si="27"/>
        <v>0</v>
      </c>
      <c r="X317">
        <f t="shared" si="28"/>
        <v>0</v>
      </c>
      <c r="Y317">
        <f t="shared" si="29"/>
        <v>0</v>
      </c>
    </row>
    <row r="318" spans="1:26" hidden="1" x14ac:dyDescent="0.35">
      <c r="A318">
        <v>316</v>
      </c>
      <c r="C318" t="s">
        <v>620</v>
      </c>
      <c r="D318" t="s">
        <v>621</v>
      </c>
      <c r="E318" s="1">
        <v>35728</v>
      </c>
      <c r="F318" t="s">
        <v>24</v>
      </c>
      <c r="G318">
        <v>52809</v>
      </c>
      <c r="H318">
        <v>-771.80711127145605</v>
      </c>
      <c r="I318">
        <v>2.9613194180982498</v>
      </c>
      <c r="J318">
        <v>7.7180711127145596</v>
      </c>
      <c r="K318">
        <v>3.3159999999999998</v>
      </c>
      <c r="L318">
        <v>670.263454939496</v>
      </c>
      <c r="M318">
        <v>571.05392905520796</v>
      </c>
      <c r="N318">
        <v>3.6631539640958</v>
      </c>
      <c r="O318">
        <v>1062.4088050507601</v>
      </c>
      <c r="P318">
        <v>5.3411398316215397</v>
      </c>
      <c r="R318">
        <v>-231.58457000000001</v>
      </c>
      <c r="S318">
        <v>-45.14</v>
      </c>
      <c r="T318">
        <f t="shared" si="24"/>
        <v>0</v>
      </c>
      <c r="U318">
        <f t="shared" si="25"/>
        <v>0</v>
      </c>
      <c r="V318">
        <f t="shared" si="26"/>
        <v>0</v>
      </c>
      <c r="W318">
        <f t="shared" si="27"/>
        <v>0</v>
      </c>
      <c r="X318">
        <f t="shared" si="28"/>
        <v>0</v>
      </c>
      <c r="Y318">
        <f t="shared" si="29"/>
        <v>0</v>
      </c>
    </row>
    <row r="319" spans="1:26" hidden="1" x14ac:dyDescent="0.35">
      <c r="A319">
        <v>317</v>
      </c>
      <c r="C319" t="s">
        <v>622</v>
      </c>
      <c r="D319" t="s">
        <v>623</v>
      </c>
      <c r="E319" s="1">
        <v>35842</v>
      </c>
      <c r="F319" t="s">
        <v>21</v>
      </c>
      <c r="G319">
        <v>53002</v>
      </c>
      <c r="H319">
        <v>-603.30002258374395</v>
      </c>
      <c r="I319">
        <v>-3.5786748321567399</v>
      </c>
      <c r="J319">
        <v>6.0330002258374398</v>
      </c>
      <c r="K319">
        <v>-4.8689999999999998</v>
      </c>
      <c r="L319">
        <v>-586.66063601263897</v>
      </c>
      <c r="M319">
        <v>354.30868579431899</v>
      </c>
      <c r="N319">
        <v>3.9289528980132</v>
      </c>
      <c r="O319">
        <v>1059.5295918312299</v>
      </c>
      <c r="P319">
        <v>6.6320628887607098</v>
      </c>
      <c r="Q319">
        <v>-0.155944324135183</v>
      </c>
      <c r="R319">
        <v>-249.38126</v>
      </c>
      <c r="S319">
        <v>-84.15</v>
      </c>
      <c r="T319">
        <f t="shared" si="24"/>
        <v>0</v>
      </c>
      <c r="U319">
        <f t="shared" si="25"/>
        <v>0</v>
      </c>
      <c r="V319">
        <f t="shared" si="26"/>
        <v>0</v>
      </c>
      <c r="W319">
        <f t="shared" si="27"/>
        <v>0</v>
      </c>
      <c r="X319">
        <f t="shared" si="28"/>
        <v>0</v>
      </c>
      <c r="Y319">
        <f t="shared" si="29"/>
        <v>0</v>
      </c>
    </row>
    <row r="320" spans="1:26" x14ac:dyDescent="0.35">
      <c r="A320">
        <v>318</v>
      </c>
      <c r="C320" t="s">
        <v>624</v>
      </c>
      <c r="D320" t="s">
        <v>625</v>
      </c>
      <c r="E320" s="1">
        <v>35972</v>
      </c>
      <c r="F320" t="s">
        <v>24</v>
      </c>
      <c r="G320">
        <v>48422</v>
      </c>
      <c r="H320">
        <v>493.52627963873101</v>
      </c>
      <c r="I320">
        <v>7.5771075753386201</v>
      </c>
      <c r="J320">
        <v>-4.9352627963873097</v>
      </c>
      <c r="K320">
        <v>4.383</v>
      </c>
      <c r="M320">
        <v>369.21377383340803</v>
      </c>
      <c r="N320">
        <v>3.81628356925187</v>
      </c>
      <c r="O320">
        <v>1050.2552591303299</v>
      </c>
      <c r="Q320">
        <v>-0.412347837836405</v>
      </c>
      <c r="R320">
        <v>-244.04761999999999</v>
      </c>
      <c r="S320">
        <v>14.62</v>
      </c>
      <c r="T320">
        <f t="shared" si="24"/>
        <v>0</v>
      </c>
      <c r="U320">
        <f t="shared" si="25"/>
        <v>0</v>
      </c>
      <c r="V320">
        <f t="shared" si="26"/>
        <v>1</v>
      </c>
      <c r="W320">
        <f t="shared" si="27"/>
        <v>0</v>
      </c>
      <c r="X320">
        <f t="shared" si="28"/>
        <v>0</v>
      </c>
      <c r="Y320">
        <f t="shared" si="29"/>
        <v>1</v>
      </c>
      <c r="Z320">
        <f>SUM(T320:X320)</f>
        <v>1</v>
      </c>
    </row>
    <row r="321" spans="1:26" hidden="1" x14ac:dyDescent="0.35">
      <c r="A321">
        <v>319</v>
      </c>
      <c r="C321" t="s">
        <v>626</v>
      </c>
      <c r="D321" t="s">
        <v>627</v>
      </c>
      <c r="E321" s="1">
        <v>35502</v>
      </c>
      <c r="F321" t="s">
        <v>24</v>
      </c>
      <c r="G321">
        <v>30469</v>
      </c>
      <c r="H321">
        <v>-508.99197292526799</v>
      </c>
      <c r="I321">
        <v>-2.7529192308353299</v>
      </c>
      <c r="J321">
        <v>5.0899197292526797</v>
      </c>
      <c r="K321">
        <v>-5.4260000000000002</v>
      </c>
      <c r="L321">
        <v>-527.33859797501998</v>
      </c>
      <c r="M321">
        <v>414.69666562719999</v>
      </c>
      <c r="N321">
        <v>2.8267340231932399</v>
      </c>
      <c r="O321">
        <v>1062.6906154451999</v>
      </c>
      <c r="P321">
        <v>10.292199552005499</v>
      </c>
      <c r="R321">
        <v>-248.15824000000001</v>
      </c>
      <c r="S321">
        <v>-6.02</v>
      </c>
      <c r="T321">
        <f t="shared" si="24"/>
        <v>0</v>
      </c>
      <c r="U321">
        <f t="shared" si="25"/>
        <v>0</v>
      </c>
      <c r="V321">
        <f t="shared" si="26"/>
        <v>0</v>
      </c>
      <c r="W321">
        <f t="shared" si="27"/>
        <v>0</v>
      </c>
      <c r="X321">
        <f t="shared" si="28"/>
        <v>0</v>
      </c>
      <c r="Y321">
        <f t="shared" si="29"/>
        <v>0</v>
      </c>
    </row>
    <row r="322" spans="1:26" hidden="1" x14ac:dyDescent="0.35">
      <c r="A322">
        <v>320</v>
      </c>
      <c r="C322" t="s">
        <v>628</v>
      </c>
      <c r="D322" t="s">
        <v>629</v>
      </c>
      <c r="E322" s="1">
        <v>36093</v>
      </c>
      <c r="F322" t="s">
        <v>24</v>
      </c>
      <c r="G322">
        <v>46508</v>
      </c>
      <c r="I322">
        <v>-5.37972223556147</v>
      </c>
      <c r="J322">
        <v>4.8756792646565499</v>
      </c>
      <c r="K322">
        <v>-4.3719999999999999</v>
      </c>
      <c r="L322">
        <v>-546.56255022619905</v>
      </c>
      <c r="M322">
        <v>401.67562965057499</v>
      </c>
      <c r="N322">
        <v>6.66867001467436</v>
      </c>
      <c r="O322">
        <v>1043.43802273747</v>
      </c>
      <c r="P322">
        <v>10.5247425812929</v>
      </c>
      <c r="Q322">
        <v>1.1299250048146099</v>
      </c>
      <c r="R322">
        <v>-249.24482</v>
      </c>
      <c r="S322">
        <v>-79.64</v>
      </c>
      <c r="T322">
        <f t="shared" si="24"/>
        <v>0</v>
      </c>
      <c r="U322">
        <f t="shared" si="25"/>
        <v>0</v>
      </c>
      <c r="V322">
        <f t="shared" si="26"/>
        <v>0</v>
      </c>
      <c r="W322">
        <f t="shared" si="27"/>
        <v>0</v>
      </c>
      <c r="X322">
        <f t="shared" si="28"/>
        <v>0</v>
      </c>
      <c r="Y322">
        <f t="shared" si="29"/>
        <v>0</v>
      </c>
    </row>
    <row r="323" spans="1:26" hidden="1" x14ac:dyDescent="0.35">
      <c r="A323">
        <v>321</v>
      </c>
      <c r="C323" t="s">
        <v>521</v>
      </c>
      <c r="D323" t="s">
        <v>630</v>
      </c>
      <c r="E323" s="1">
        <v>36018</v>
      </c>
      <c r="F323" t="s">
        <v>24</v>
      </c>
      <c r="G323">
        <v>43863</v>
      </c>
      <c r="H323">
        <v>-706.76679466680901</v>
      </c>
      <c r="I323">
        <v>2.2818576842988101</v>
      </c>
      <c r="J323">
        <v>7.0676679466680898</v>
      </c>
      <c r="K323">
        <v>3.5859999999999999</v>
      </c>
      <c r="L323">
        <v>484.44640589932999</v>
      </c>
      <c r="M323">
        <v>581.70722797550604</v>
      </c>
      <c r="N323">
        <v>3.9253787048320601</v>
      </c>
      <c r="O323">
        <v>1029.39980499695</v>
      </c>
      <c r="P323">
        <v>5.39011662507016</v>
      </c>
      <c r="Q323">
        <v>0.52973960516601204</v>
      </c>
      <c r="R323">
        <v>-232.59965</v>
      </c>
      <c r="S323">
        <v>-1.63</v>
      </c>
      <c r="T323">
        <f t="shared" ref="T323:T386" si="30">IF(I323="",1,0)</f>
        <v>0</v>
      </c>
      <c r="U323">
        <f t="shared" ref="U323:U386" si="31">IF(J323="",1,0)</f>
        <v>0</v>
      </c>
      <c r="V323">
        <f t="shared" ref="V323:V386" si="32">IF(P323="",1,0)</f>
        <v>0</v>
      </c>
      <c r="W323">
        <f t="shared" ref="W323:W386" si="33">IF(R323="",1,0)</f>
        <v>0</v>
      </c>
      <c r="X323">
        <f t="shared" ref="X323:X386" si="34">IF(S323="",1,0)</f>
        <v>0</v>
      </c>
      <c r="Y323">
        <f t="shared" ref="Y323:Y386" si="35">--OR(T323:X323)</f>
        <v>0</v>
      </c>
    </row>
    <row r="324" spans="1:26" hidden="1" x14ac:dyDescent="0.35">
      <c r="A324">
        <v>322</v>
      </c>
      <c r="C324" t="s">
        <v>631</v>
      </c>
      <c r="D324" t="s">
        <v>632</v>
      </c>
      <c r="E324" s="1">
        <v>35707</v>
      </c>
      <c r="F324" t="s">
        <v>24</v>
      </c>
      <c r="G324">
        <v>56024</v>
      </c>
      <c r="H324">
        <v>-478.49313610950998</v>
      </c>
      <c r="I324">
        <v>3.7160054866547401</v>
      </c>
      <c r="J324">
        <v>4.7849313610950999</v>
      </c>
      <c r="K324">
        <v>4.9429999999999996</v>
      </c>
      <c r="L324">
        <v>513.28607256958196</v>
      </c>
      <c r="M324">
        <v>573.98746208107798</v>
      </c>
      <c r="N324">
        <v>4.7623625936508498</v>
      </c>
      <c r="O324">
        <v>1041.4958837654201</v>
      </c>
      <c r="P324">
        <v>5.1829950963365201</v>
      </c>
      <c r="Q324">
        <v>1.47287147473945</v>
      </c>
      <c r="R324">
        <v>-232.77461</v>
      </c>
      <c r="S324">
        <v>-26.27</v>
      </c>
      <c r="T324">
        <f t="shared" si="30"/>
        <v>0</v>
      </c>
      <c r="U324">
        <f t="shared" si="31"/>
        <v>0</v>
      </c>
      <c r="V324">
        <f t="shared" si="32"/>
        <v>0</v>
      </c>
      <c r="W324">
        <f t="shared" si="33"/>
        <v>0</v>
      </c>
      <c r="X324">
        <f t="shared" si="34"/>
        <v>0</v>
      </c>
      <c r="Y324">
        <f t="shared" si="35"/>
        <v>0</v>
      </c>
    </row>
    <row r="325" spans="1:26" hidden="1" x14ac:dyDescent="0.35">
      <c r="A325">
        <v>323</v>
      </c>
      <c r="C325" t="s">
        <v>633</v>
      </c>
      <c r="D325" t="s">
        <v>634</v>
      </c>
      <c r="E325" s="1">
        <v>37003</v>
      </c>
      <c r="F325" t="s">
        <v>21</v>
      </c>
      <c r="G325">
        <v>67322</v>
      </c>
      <c r="H325">
        <v>-425.47433584296999</v>
      </c>
      <c r="I325">
        <v>-5.2445849802192397</v>
      </c>
      <c r="J325">
        <v>4.2547433584296996</v>
      </c>
      <c r="K325">
        <v>-4.6959999999999997</v>
      </c>
      <c r="L325">
        <v>-513.27414986547205</v>
      </c>
      <c r="M325">
        <v>398.20258046756101</v>
      </c>
      <c r="N325">
        <v>6.2333631118850903</v>
      </c>
      <c r="O325">
        <v>1032.20205679531</v>
      </c>
      <c r="P325">
        <v>8.2493789859970299</v>
      </c>
      <c r="Q325">
        <v>0.41539000400591303</v>
      </c>
      <c r="R325">
        <v>-251.41826</v>
      </c>
      <c r="S325">
        <v>-94.1</v>
      </c>
      <c r="T325">
        <f t="shared" si="30"/>
        <v>0</v>
      </c>
      <c r="U325">
        <f t="shared" si="31"/>
        <v>0</v>
      </c>
      <c r="V325">
        <f t="shared" si="32"/>
        <v>0</v>
      </c>
      <c r="W325">
        <f t="shared" si="33"/>
        <v>0</v>
      </c>
      <c r="X325">
        <f t="shared" si="34"/>
        <v>0</v>
      </c>
      <c r="Y325">
        <f t="shared" si="35"/>
        <v>0</v>
      </c>
    </row>
    <row r="326" spans="1:26" hidden="1" x14ac:dyDescent="0.35">
      <c r="A326">
        <v>324</v>
      </c>
      <c r="C326" t="s">
        <v>635</v>
      </c>
      <c r="D326" t="s">
        <v>636</v>
      </c>
      <c r="E326" s="1">
        <v>36258</v>
      </c>
      <c r="F326" t="s">
        <v>21</v>
      </c>
      <c r="G326">
        <v>37915</v>
      </c>
      <c r="H326">
        <v>-620.22264482580795</v>
      </c>
      <c r="I326">
        <v>3.5357487114105401</v>
      </c>
      <c r="J326">
        <v>6.20222644825808</v>
      </c>
      <c r="K326">
        <v>4.87</v>
      </c>
      <c r="L326">
        <v>510.15208488358098</v>
      </c>
      <c r="M326">
        <v>576.785041298279</v>
      </c>
      <c r="N326">
        <v>5.1697652453193896</v>
      </c>
      <c r="O326">
        <v>1071.03578358096</v>
      </c>
      <c r="P326">
        <v>8.2012537976025293</v>
      </c>
      <c r="Q326">
        <v>0.82101644327468004</v>
      </c>
      <c r="R326">
        <v>-230.06181000000001</v>
      </c>
      <c r="S326">
        <v>-31.45</v>
      </c>
      <c r="T326">
        <f t="shared" si="30"/>
        <v>0</v>
      </c>
      <c r="U326">
        <f t="shared" si="31"/>
        <v>0</v>
      </c>
      <c r="V326">
        <f t="shared" si="32"/>
        <v>0</v>
      </c>
      <c r="W326">
        <f t="shared" si="33"/>
        <v>0</v>
      </c>
      <c r="X326">
        <f t="shared" si="34"/>
        <v>0</v>
      </c>
      <c r="Y326">
        <f t="shared" si="35"/>
        <v>0</v>
      </c>
    </row>
    <row r="327" spans="1:26" hidden="1" x14ac:dyDescent="0.35">
      <c r="A327">
        <v>325</v>
      </c>
      <c r="C327" t="s">
        <v>637</v>
      </c>
      <c r="D327" t="s">
        <v>638</v>
      </c>
      <c r="E327" s="1">
        <v>36572</v>
      </c>
      <c r="F327" t="s">
        <v>24</v>
      </c>
      <c r="G327">
        <v>48177</v>
      </c>
      <c r="H327">
        <v>-710.81306718430699</v>
      </c>
      <c r="I327">
        <v>5.5098010237778396</v>
      </c>
      <c r="J327">
        <v>7.1081306718430701</v>
      </c>
      <c r="K327">
        <v>2.2570000000000001</v>
      </c>
      <c r="L327">
        <v>128.90899121876501</v>
      </c>
      <c r="M327">
        <v>559.68587434395101</v>
      </c>
      <c r="N327">
        <v>4.7792893011257602</v>
      </c>
      <c r="P327">
        <v>5.27769467041926</v>
      </c>
      <c r="Q327">
        <v>0.181905806537558</v>
      </c>
      <c r="R327">
        <v>-232.84217000000001</v>
      </c>
      <c r="S327">
        <v>23.64</v>
      </c>
      <c r="T327">
        <f t="shared" si="30"/>
        <v>0</v>
      </c>
      <c r="U327">
        <f t="shared" si="31"/>
        <v>0</v>
      </c>
      <c r="V327">
        <f t="shared" si="32"/>
        <v>0</v>
      </c>
      <c r="W327">
        <f t="shared" si="33"/>
        <v>0</v>
      </c>
      <c r="X327">
        <f t="shared" si="34"/>
        <v>0</v>
      </c>
      <c r="Y327">
        <f t="shared" si="35"/>
        <v>0</v>
      </c>
    </row>
    <row r="328" spans="1:26" hidden="1" x14ac:dyDescent="0.35">
      <c r="A328">
        <v>326</v>
      </c>
      <c r="C328" t="s">
        <v>639</v>
      </c>
      <c r="D328" t="s">
        <v>640</v>
      </c>
      <c r="E328" s="1">
        <v>36000</v>
      </c>
      <c r="F328" t="s">
        <v>24</v>
      </c>
      <c r="G328">
        <v>52174</v>
      </c>
      <c r="H328">
        <v>-264.72756473151901</v>
      </c>
      <c r="I328">
        <v>-3.3329855064485701</v>
      </c>
      <c r="J328">
        <v>2.6472756473151899</v>
      </c>
      <c r="K328">
        <v>-5.7149999999999999</v>
      </c>
      <c r="L328">
        <v>-231.80638299005099</v>
      </c>
      <c r="M328">
        <v>491.34512153716099</v>
      </c>
      <c r="N328">
        <v>5.4108008947571798E-2</v>
      </c>
      <c r="O328">
        <v>1044.4677581717899</v>
      </c>
      <c r="P328">
        <v>9.2397619287567707</v>
      </c>
      <c r="Q328">
        <v>-0.65942175627791999</v>
      </c>
      <c r="R328">
        <v>-251.48998</v>
      </c>
      <c r="S328">
        <v>35.14</v>
      </c>
      <c r="T328">
        <f t="shared" si="30"/>
        <v>0</v>
      </c>
      <c r="U328">
        <f t="shared" si="31"/>
        <v>0</v>
      </c>
      <c r="V328">
        <f t="shared" si="32"/>
        <v>0</v>
      </c>
      <c r="W328">
        <f t="shared" si="33"/>
        <v>0</v>
      </c>
      <c r="X328">
        <f t="shared" si="34"/>
        <v>0</v>
      </c>
      <c r="Y328">
        <f t="shared" si="35"/>
        <v>0</v>
      </c>
    </row>
    <row r="329" spans="1:26" hidden="1" x14ac:dyDescent="0.35">
      <c r="A329">
        <v>327</v>
      </c>
      <c r="C329" t="s">
        <v>641</v>
      </c>
      <c r="D329" t="s">
        <v>642</v>
      </c>
      <c r="E329" s="1">
        <v>35751</v>
      </c>
      <c r="F329" t="s">
        <v>24</v>
      </c>
      <c r="G329">
        <v>54413</v>
      </c>
      <c r="H329">
        <v>547.29095996400804</v>
      </c>
      <c r="I329">
        <v>3.4401782720587502</v>
      </c>
      <c r="J329">
        <v>-5.4729095996400803</v>
      </c>
      <c r="K329">
        <v>5.8490000000000002</v>
      </c>
      <c r="L329">
        <v>-836.87660537762997</v>
      </c>
      <c r="M329">
        <v>440.20784599524001</v>
      </c>
      <c r="O329">
        <v>1077.97353496861</v>
      </c>
      <c r="P329">
        <v>6.3875363167878803</v>
      </c>
      <c r="Q329">
        <v>-1.49231967691278</v>
      </c>
      <c r="R329">
        <v>-246.42617999999999</v>
      </c>
      <c r="S329">
        <v>32.119999999999997</v>
      </c>
      <c r="T329">
        <f t="shared" si="30"/>
        <v>0</v>
      </c>
      <c r="U329">
        <f t="shared" si="31"/>
        <v>0</v>
      </c>
      <c r="V329">
        <f t="shared" si="32"/>
        <v>0</v>
      </c>
      <c r="W329">
        <f t="shared" si="33"/>
        <v>0</v>
      </c>
      <c r="X329">
        <f t="shared" si="34"/>
        <v>0</v>
      </c>
      <c r="Y329">
        <f t="shared" si="35"/>
        <v>0</v>
      </c>
    </row>
    <row r="330" spans="1:26" hidden="1" x14ac:dyDescent="0.35">
      <c r="A330">
        <v>328</v>
      </c>
      <c r="C330" t="s">
        <v>643</v>
      </c>
      <c r="D330" t="s">
        <v>644</v>
      </c>
      <c r="E330" s="1">
        <v>36961</v>
      </c>
      <c r="F330" t="s">
        <v>24</v>
      </c>
      <c r="G330">
        <v>50357</v>
      </c>
      <c r="H330">
        <v>-573.29878466616401</v>
      </c>
      <c r="I330">
        <v>0.219300008330399</v>
      </c>
      <c r="J330">
        <v>5.73298784666164</v>
      </c>
      <c r="K330">
        <v>-2.855</v>
      </c>
      <c r="L330">
        <v>-587.19810158946802</v>
      </c>
      <c r="M330">
        <v>423.26252404182401</v>
      </c>
      <c r="N330">
        <v>3.4831476338338501</v>
      </c>
      <c r="O330">
        <v>1020.66483242298</v>
      </c>
      <c r="P330">
        <v>5.0744158951024403</v>
      </c>
      <c r="Q330">
        <v>-1.40046979814843</v>
      </c>
      <c r="R330">
        <v>-245.44524000000001</v>
      </c>
      <c r="S330">
        <v>0.43</v>
      </c>
      <c r="T330">
        <f t="shared" si="30"/>
        <v>0</v>
      </c>
      <c r="U330">
        <f t="shared" si="31"/>
        <v>0</v>
      </c>
      <c r="V330">
        <f t="shared" si="32"/>
        <v>0</v>
      </c>
      <c r="W330">
        <f t="shared" si="33"/>
        <v>0</v>
      </c>
      <c r="X330">
        <f t="shared" si="34"/>
        <v>0</v>
      </c>
      <c r="Y330">
        <f t="shared" si="35"/>
        <v>0</v>
      </c>
    </row>
    <row r="331" spans="1:26" hidden="1" x14ac:dyDescent="0.35">
      <c r="A331">
        <v>329</v>
      </c>
      <c r="C331" t="s">
        <v>645</v>
      </c>
      <c r="D331" t="s">
        <v>646</v>
      </c>
      <c r="E331" s="1">
        <v>35827</v>
      </c>
      <c r="F331" t="s">
        <v>24</v>
      </c>
      <c r="G331">
        <v>31413</v>
      </c>
      <c r="H331">
        <v>624.71029926438302</v>
      </c>
      <c r="I331">
        <v>-7.0525462195811697</v>
      </c>
      <c r="J331">
        <v>-6.2471029926438302</v>
      </c>
      <c r="K331">
        <v>4.0049999999999999</v>
      </c>
      <c r="L331">
        <v>-399.635646676595</v>
      </c>
      <c r="M331">
        <v>565.18588571221301</v>
      </c>
      <c r="N331">
        <v>-2.6847554559759201</v>
      </c>
      <c r="O331">
        <v>944.87402041516805</v>
      </c>
      <c r="P331">
        <v>5.1382507305544101</v>
      </c>
      <c r="Q331">
        <v>-5.9882030301319097E-2</v>
      </c>
      <c r="R331">
        <v>-254.45008999999999</v>
      </c>
      <c r="S331">
        <v>170.96</v>
      </c>
      <c r="T331">
        <f t="shared" si="30"/>
        <v>0</v>
      </c>
      <c r="U331">
        <f t="shared" si="31"/>
        <v>0</v>
      </c>
      <c r="V331">
        <f t="shared" si="32"/>
        <v>0</v>
      </c>
      <c r="W331">
        <f t="shared" si="33"/>
        <v>0</v>
      </c>
      <c r="X331">
        <f t="shared" si="34"/>
        <v>0</v>
      </c>
      <c r="Y331">
        <f t="shared" si="35"/>
        <v>0</v>
      </c>
    </row>
    <row r="332" spans="1:26" hidden="1" x14ac:dyDescent="0.35">
      <c r="A332">
        <v>330</v>
      </c>
      <c r="C332" t="s">
        <v>647</v>
      </c>
      <c r="D332" t="s">
        <v>648</v>
      </c>
      <c r="E332" s="1">
        <v>37171</v>
      </c>
      <c r="F332" t="s">
        <v>24</v>
      </c>
      <c r="G332">
        <v>58160</v>
      </c>
      <c r="H332">
        <v>-528.657483525511</v>
      </c>
      <c r="I332">
        <v>5.4940088890889403</v>
      </c>
      <c r="J332">
        <v>5.2865748352551103</v>
      </c>
      <c r="K332">
        <v>5.4379999999999997</v>
      </c>
      <c r="L332">
        <v>831.804274767523</v>
      </c>
      <c r="M332">
        <v>609.08497418288596</v>
      </c>
      <c r="N332">
        <v>5.2772657659800704</v>
      </c>
      <c r="O332">
        <v>1060.36792396076</v>
      </c>
      <c r="P332">
        <v>6.1641626905347398</v>
      </c>
      <c r="Q332">
        <v>0.97157129835237199</v>
      </c>
      <c r="R332">
        <v>-229.24039999999999</v>
      </c>
      <c r="S332">
        <v>-38.86</v>
      </c>
      <c r="T332">
        <f t="shared" si="30"/>
        <v>0</v>
      </c>
      <c r="U332">
        <f t="shared" si="31"/>
        <v>0</v>
      </c>
      <c r="V332">
        <f t="shared" si="32"/>
        <v>0</v>
      </c>
      <c r="W332">
        <f t="shared" si="33"/>
        <v>0</v>
      </c>
      <c r="X332">
        <f t="shared" si="34"/>
        <v>0</v>
      </c>
      <c r="Y332">
        <f t="shared" si="35"/>
        <v>0</v>
      </c>
    </row>
    <row r="333" spans="1:26" hidden="1" x14ac:dyDescent="0.35">
      <c r="A333">
        <v>331</v>
      </c>
      <c r="C333" t="s">
        <v>649</v>
      </c>
      <c r="D333" t="s">
        <v>396</v>
      </c>
      <c r="E333" s="1">
        <v>36984</v>
      </c>
      <c r="F333" t="s">
        <v>24</v>
      </c>
      <c r="G333">
        <v>51198</v>
      </c>
      <c r="H333">
        <v>420.00540217729099</v>
      </c>
      <c r="I333">
        <v>2.41595225074439</v>
      </c>
      <c r="J333">
        <v>-4.2000540217729103</v>
      </c>
      <c r="K333">
        <v>5.4429999999999996</v>
      </c>
      <c r="L333">
        <v>-517.30098074879697</v>
      </c>
      <c r="M333">
        <v>518.20981230806399</v>
      </c>
      <c r="N333">
        <v>8.7174682805184407</v>
      </c>
      <c r="O333">
        <v>1041.09362530097</v>
      </c>
      <c r="P333">
        <v>12.211899264487201</v>
      </c>
      <c r="Q333">
        <v>1.5784192114125699</v>
      </c>
      <c r="R333">
        <v>-242.21231</v>
      </c>
      <c r="S333">
        <v>-3.43</v>
      </c>
      <c r="T333">
        <f t="shared" si="30"/>
        <v>0</v>
      </c>
      <c r="U333">
        <f t="shared" si="31"/>
        <v>0</v>
      </c>
      <c r="V333">
        <f t="shared" si="32"/>
        <v>0</v>
      </c>
      <c r="W333">
        <f t="shared" si="33"/>
        <v>0</v>
      </c>
      <c r="X333">
        <f t="shared" si="34"/>
        <v>0</v>
      </c>
      <c r="Y333">
        <f t="shared" si="35"/>
        <v>0</v>
      </c>
    </row>
    <row r="334" spans="1:26" x14ac:dyDescent="0.35">
      <c r="A334">
        <v>332</v>
      </c>
      <c r="C334" t="s">
        <v>509</v>
      </c>
      <c r="D334" t="s">
        <v>650</v>
      </c>
      <c r="E334" s="1">
        <v>36440</v>
      </c>
      <c r="F334" t="s">
        <v>21</v>
      </c>
      <c r="G334">
        <v>46462</v>
      </c>
      <c r="H334">
        <v>832.43363084733301</v>
      </c>
      <c r="I334">
        <v>-3.9671139462221401</v>
      </c>
      <c r="J334">
        <v>-8.3243363084733293</v>
      </c>
      <c r="K334">
        <v>3.2669999999999999</v>
      </c>
      <c r="L334">
        <v>-874.42142819548599</v>
      </c>
      <c r="M334">
        <v>607.98975558684003</v>
      </c>
      <c r="N334">
        <v>-6.9013750573796502</v>
      </c>
      <c r="O334">
        <v>926.98732861752399</v>
      </c>
      <c r="Q334">
        <v>-8.6637712545348203E-2</v>
      </c>
      <c r="R334">
        <v>-258.02544999999998</v>
      </c>
      <c r="S334">
        <v>282.43</v>
      </c>
      <c r="T334">
        <f t="shared" si="30"/>
        <v>0</v>
      </c>
      <c r="U334">
        <f t="shared" si="31"/>
        <v>0</v>
      </c>
      <c r="V334">
        <f t="shared" si="32"/>
        <v>1</v>
      </c>
      <c r="W334">
        <f t="shared" si="33"/>
        <v>0</v>
      </c>
      <c r="X334">
        <f t="shared" si="34"/>
        <v>0</v>
      </c>
      <c r="Y334">
        <f t="shared" si="35"/>
        <v>1</v>
      </c>
      <c r="Z334">
        <f>SUM(T334:X334)</f>
        <v>1</v>
      </c>
    </row>
    <row r="335" spans="1:26" hidden="1" x14ac:dyDescent="0.35">
      <c r="A335">
        <v>333</v>
      </c>
      <c r="C335" t="s">
        <v>651</v>
      </c>
      <c r="D335" t="s">
        <v>652</v>
      </c>
      <c r="E335" s="1">
        <v>35450</v>
      </c>
      <c r="F335" t="s">
        <v>21</v>
      </c>
      <c r="G335">
        <v>79712</v>
      </c>
      <c r="H335">
        <v>-645.25890187418804</v>
      </c>
      <c r="I335">
        <v>5.6205712016986604</v>
      </c>
      <c r="J335">
        <v>6.4525890187418797</v>
      </c>
      <c r="K335">
        <v>4.5750000000000002</v>
      </c>
      <c r="L335">
        <v>481.69785189235802</v>
      </c>
      <c r="M335">
        <v>600.33426082393601</v>
      </c>
      <c r="N335">
        <v>3.97934771909887</v>
      </c>
      <c r="O335">
        <v>1038.3448991759601</v>
      </c>
      <c r="P335">
        <v>3.1922269225368298</v>
      </c>
      <c r="Q335">
        <v>-0.86826497750889597</v>
      </c>
      <c r="R335">
        <v>-231.88405</v>
      </c>
      <c r="S335">
        <v>-27.46</v>
      </c>
      <c r="T335">
        <f t="shared" si="30"/>
        <v>0</v>
      </c>
      <c r="U335">
        <f t="shared" si="31"/>
        <v>0</v>
      </c>
      <c r="V335">
        <f t="shared" si="32"/>
        <v>0</v>
      </c>
      <c r="W335">
        <f t="shared" si="33"/>
        <v>0</v>
      </c>
      <c r="X335">
        <f t="shared" si="34"/>
        <v>0</v>
      </c>
      <c r="Y335">
        <f t="shared" si="35"/>
        <v>0</v>
      </c>
    </row>
    <row r="336" spans="1:26" hidden="1" x14ac:dyDescent="0.35">
      <c r="A336">
        <v>334</v>
      </c>
      <c r="C336" t="s">
        <v>653</v>
      </c>
      <c r="D336" t="s">
        <v>654</v>
      </c>
      <c r="E336" s="1">
        <v>37037</v>
      </c>
      <c r="F336" t="s">
        <v>24</v>
      </c>
      <c r="G336">
        <v>71058</v>
      </c>
      <c r="H336">
        <v>-452.72251833560199</v>
      </c>
      <c r="I336">
        <v>6.3195914267133499</v>
      </c>
      <c r="J336">
        <v>4.5272251833560198</v>
      </c>
      <c r="K336">
        <v>6.8120000000000003</v>
      </c>
      <c r="L336">
        <v>939.31713512418605</v>
      </c>
      <c r="M336">
        <v>667.67416510381497</v>
      </c>
      <c r="N336">
        <v>3.15783217026098</v>
      </c>
      <c r="O336">
        <v>1060.4566653614299</v>
      </c>
      <c r="P336">
        <v>5.2648017000950897</v>
      </c>
      <c r="Q336">
        <v>1.20049169801689E-2</v>
      </c>
      <c r="R336">
        <v>-228.68376000000001</v>
      </c>
      <c r="S336">
        <v>-10.220000000000001</v>
      </c>
      <c r="T336">
        <f t="shared" si="30"/>
        <v>0</v>
      </c>
      <c r="U336">
        <f t="shared" si="31"/>
        <v>0</v>
      </c>
      <c r="V336">
        <f t="shared" si="32"/>
        <v>0</v>
      </c>
      <c r="W336">
        <f t="shared" si="33"/>
        <v>0</v>
      </c>
      <c r="X336">
        <f t="shared" si="34"/>
        <v>0</v>
      </c>
      <c r="Y336">
        <f t="shared" si="35"/>
        <v>0</v>
      </c>
    </row>
    <row r="337" spans="1:26" hidden="1" x14ac:dyDescent="0.35">
      <c r="A337">
        <v>335</v>
      </c>
      <c r="C337" t="s">
        <v>655</v>
      </c>
      <c r="D337" t="s">
        <v>656</v>
      </c>
      <c r="E337" s="1">
        <v>35409</v>
      </c>
      <c r="F337" t="s">
        <v>21</v>
      </c>
      <c r="G337">
        <v>69047</v>
      </c>
      <c r="H337">
        <v>407.23290817306997</v>
      </c>
      <c r="I337">
        <v>6.8566671717975396</v>
      </c>
      <c r="J337">
        <v>-4.0723290817307003</v>
      </c>
      <c r="K337">
        <v>4.0389999999999997</v>
      </c>
      <c r="L337">
        <v>-554.14249559458403</v>
      </c>
      <c r="M337">
        <v>399.14091996830899</v>
      </c>
      <c r="N337">
        <v>6.6239299944952599</v>
      </c>
      <c r="O337">
        <v>1050.48716012982</v>
      </c>
      <c r="P337">
        <v>4.7104099333924498</v>
      </c>
      <c r="Q337">
        <v>0.46113784940325497</v>
      </c>
      <c r="R337">
        <v>-243.81551999999999</v>
      </c>
      <c r="S337">
        <v>-33.44</v>
      </c>
      <c r="T337">
        <f t="shared" si="30"/>
        <v>0</v>
      </c>
      <c r="U337">
        <f t="shared" si="31"/>
        <v>0</v>
      </c>
      <c r="V337">
        <f t="shared" si="32"/>
        <v>0</v>
      </c>
      <c r="W337">
        <f t="shared" si="33"/>
        <v>0</v>
      </c>
      <c r="X337">
        <f t="shared" si="34"/>
        <v>0</v>
      </c>
      <c r="Y337">
        <f t="shared" si="35"/>
        <v>0</v>
      </c>
    </row>
    <row r="338" spans="1:26" hidden="1" x14ac:dyDescent="0.35">
      <c r="A338">
        <v>336</v>
      </c>
      <c r="C338" t="s">
        <v>626</v>
      </c>
      <c r="D338" t="s">
        <v>657</v>
      </c>
      <c r="E338" s="1">
        <v>36600</v>
      </c>
      <c r="F338" t="s">
        <v>24</v>
      </c>
      <c r="G338">
        <v>40398</v>
      </c>
      <c r="H338">
        <v>-526.59808042909799</v>
      </c>
      <c r="I338">
        <v>8.3179709673121494</v>
      </c>
      <c r="J338">
        <v>5.2659808042909804</v>
      </c>
      <c r="K338">
        <v>4.6280000000000001</v>
      </c>
      <c r="L338">
        <v>701.12803505667898</v>
      </c>
      <c r="M338">
        <v>578.90067093309597</v>
      </c>
      <c r="N338">
        <v>3.4684988739248599</v>
      </c>
      <c r="O338">
        <v>1051.76635075897</v>
      </c>
      <c r="P338">
        <v>4.3365243528828001</v>
      </c>
      <c r="Q338">
        <v>-0.69270668218694997</v>
      </c>
      <c r="R338">
        <v>-228.67479</v>
      </c>
      <c r="S338">
        <v>23.67</v>
      </c>
      <c r="T338">
        <f t="shared" si="30"/>
        <v>0</v>
      </c>
      <c r="U338">
        <f t="shared" si="31"/>
        <v>0</v>
      </c>
      <c r="V338">
        <f t="shared" si="32"/>
        <v>0</v>
      </c>
      <c r="W338">
        <f t="shared" si="33"/>
        <v>0</v>
      </c>
      <c r="X338">
        <f t="shared" si="34"/>
        <v>0</v>
      </c>
      <c r="Y338">
        <f t="shared" si="35"/>
        <v>0</v>
      </c>
    </row>
    <row r="339" spans="1:26" hidden="1" x14ac:dyDescent="0.35">
      <c r="A339">
        <v>337</v>
      </c>
      <c r="C339" t="s">
        <v>658</v>
      </c>
      <c r="D339" t="s">
        <v>659</v>
      </c>
      <c r="E339" s="1">
        <v>36380</v>
      </c>
      <c r="F339" t="s">
        <v>21</v>
      </c>
      <c r="G339">
        <v>52494</v>
      </c>
      <c r="H339">
        <v>612.69583752737299</v>
      </c>
      <c r="I339">
        <v>3.21116210134007</v>
      </c>
      <c r="J339">
        <v>-6.1269583752737304</v>
      </c>
      <c r="K339">
        <v>6.2110000000000003</v>
      </c>
      <c r="L339">
        <v>-633.23591920508397</v>
      </c>
      <c r="M339">
        <v>376.570470396031</v>
      </c>
      <c r="N339">
        <v>6.0361708915634802</v>
      </c>
      <c r="O339">
        <v>1067.1606215233901</v>
      </c>
      <c r="P339">
        <v>6.2139673906896302</v>
      </c>
      <c r="Q339">
        <v>1.02536906053017</v>
      </c>
      <c r="R339">
        <v>-245.55347</v>
      </c>
      <c r="S339">
        <v>-48.66</v>
      </c>
      <c r="T339">
        <f t="shared" si="30"/>
        <v>0</v>
      </c>
      <c r="U339">
        <f t="shared" si="31"/>
        <v>0</v>
      </c>
      <c r="V339">
        <f t="shared" si="32"/>
        <v>0</v>
      </c>
      <c r="W339">
        <f t="shared" si="33"/>
        <v>0</v>
      </c>
      <c r="X339">
        <f t="shared" si="34"/>
        <v>0</v>
      </c>
      <c r="Y339">
        <f t="shared" si="35"/>
        <v>0</v>
      </c>
    </row>
    <row r="340" spans="1:26" x14ac:dyDescent="0.35">
      <c r="A340">
        <v>338</v>
      </c>
      <c r="C340" t="s">
        <v>660</v>
      </c>
      <c r="D340" t="s">
        <v>661</v>
      </c>
      <c r="E340" s="1">
        <v>36514</v>
      </c>
      <c r="F340" t="s">
        <v>21</v>
      </c>
      <c r="G340">
        <v>43656</v>
      </c>
      <c r="H340">
        <v>224.677226341866</v>
      </c>
      <c r="I340">
        <v>-6.0039674352904298</v>
      </c>
      <c r="J340">
        <v>-2.2467722634186602</v>
      </c>
      <c r="K340">
        <v>4.5449999999999999</v>
      </c>
      <c r="M340">
        <v>556.98100308232301</v>
      </c>
      <c r="N340">
        <v>-5.19842558269462</v>
      </c>
      <c r="O340">
        <v>961.17715704960301</v>
      </c>
      <c r="Q340">
        <v>-0.59232087224818197</v>
      </c>
      <c r="R340">
        <v>-252.85782</v>
      </c>
      <c r="S340">
        <v>179</v>
      </c>
      <c r="T340">
        <f t="shared" si="30"/>
        <v>0</v>
      </c>
      <c r="U340">
        <f t="shared" si="31"/>
        <v>0</v>
      </c>
      <c r="V340">
        <f t="shared" si="32"/>
        <v>1</v>
      </c>
      <c r="W340">
        <f t="shared" si="33"/>
        <v>0</v>
      </c>
      <c r="X340">
        <f t="shared" si="34"/>
        <v>0</v>
      </c>
      <c r="Y340">
        <f t="shared" si="35"/>
        <v>1</v>
      </c>
      <c r="Z340">
        <f>SUM(T340:X340)</f>
        <v>1</v>
      </c>
    </row>
    <row r="341" spans="1:26" hidden="1" x14ac:dyDescent="0.35">
      <c r="A341">
        <v>339</v>
      </c>
      <c r="C341" t="s">
        <v>662</v>
      </c>
      <c r="D341" t="s">
        <v>663</v>
      </c>
      <c r="E341" s="1">
        <v>36367</v>
      </c>
      <c r="F341" t="s">
        <v>24</v>
      </c>
      <c r="G341">
        <v>61812</v>
      </c>
      <c r="H341">
        <v>330.89238920743401</v>
      </c>
      <c r="I341">
        <v>4.2063578239423496</v>
      </c>
      <c r="J341">
        <v>-3.3089238920743398</v>
      </c>
      <c r="K341">
        <v>5.8019999999999996</v>
      </c>
      <c r="L341">
        <v>-620.35181733038996</v>
      </c>
      <c r="M341">
        <v>429.81970243948098</v>
      </c>
      <c r="N341">
        <v>3.1281639760684099</v>
      </c>
      <c r="O341">
        <v>1061.6268375587599</v>
      </c>
      <c r="P341">
        <v>4.3883853426001904</v>
      </c>
      <c r="Q341">
        <v>-1.29353056341392</v>
      </c>
      <c r="R341">
        <v>-243.79427000000001</v>
      </c>
      <c r="S341">
        <v>-8.11</v>
      </c>
      <c r="T341">
        <f t="shared" si="30"/>
        <v>0</v>
      </c>
      <c r="U341">
        <f t="shared" si="31"/>
        <v>0</v>
      </c>
      <c r="V341">
        <f t="shared" si="32"/>
        <v>0</v>
      </c>
      <c r="W341">
        <f t="shared" si="33"/>
        <v>0</v>
      </c>
      <c r="X341">
        <f t="shared" si="34"/>
        <v>0</v>
      </c>
      <c r="Y341">
        <f t="shared" si="35"/>
        <v>0</v>
      </c>
    </row>
    <row r="342" spans="1:26" hidden="1" x14ac:dyDescent="0.35">
      <c r="A342">
        <v>340</v>
      </c>
      <c r="C342" t="s">
        <v>664</v>
      </c>
      <c r="D342" t="s">
        <v>307</v>
      </c>
      <c r="E342" s="1">
        <v>36753</v>
      </c>
      <c r="F342" t="s">
        <v>21</v>
      </c>
      <c r="G342">
        <v>55728</v>
      </c>
      <c r="H342">
        <v>386.84054308083898</v>
      </c>
      <c r="I342">
        <v>3.2366810757381201</v>
      </c>
      <c r="J342">
        <v>-3.8684054308083899</v>
      </c>
      <c r="K342">
        <v>5.0309999999999997</v>
      </c>
      <c r="L342">
        <v>-524.21322956811605</v>
      </c>
      <c r="M342">
        <v>438.86153669480001</v>
      </c>
      <c r="N342">
        <v>3.9512735553315301</v>
      </c>
      <c r="O342">
        <v>1053.71290274379</v>
      </c>
      <c r="P342">
        <v>5.8393725431671699</v>
      </c>
      <c r="Q342">
        <v>0.96452863892106899</v>
      </c>
      <c r="R342">
        <v>-244.59897000000001</v>
      </c>
      <c r="S342">
        <v>-3.25</v>
      </c>
      <c r="T342">
        <f t="shared" si="30"/>
        <v>0</v>
      </c>
      <c r="U342">
        <f t="shared" si="31"/>
        <v>0</v>
      </c>
      <c r="V342">
        <f t="shared" si="32"/>
        <v>0</v>
      </c>
      <c r="W342">
        <f t="shared" si="33"/>
        <v>0</v>
      </c>
      <c r="X342">
        <f t="shared" si="34"/>
        <v>0</v>
      </c>
      <c r="Y342">
        <f t="shared" si="35"/>
        <v>0</v>
      </c>
    </row>
    <row r="343" spans="1:26" hidden="1" x14ac:dyDescent="0.35">
      <c r="A343">
        <v>341</v>
      </c>
      <c r="C343" t="s">
        <v>665</v>
      </c>
      <c r="D343" t="s">
        <v>666</v>
      </c>
      <c r="E343" s="1">
        <v>37182</v>
      </c>
      <c r="F343" t="s">
        <v>21</v>
      </c>
      <c r="G343">
        <v>42388</v>
      </c>
      <c r="H343">
        <v>-612.73033197745303</v>
      </c>
      <c r="I343">
        <v>-4.7245905679764002</v>
      </c>
      <c r="J343">
        <v>6.1273033197745299</v>
      </c>
      <c r="K343">
        <v>-4.5410000000000004</v>
      </c>
      <c r="L343">
        <v>-453.32328201748101</v>
      </c>
      <c r="M343">
        <v>386.008391915049</v>
      </c>
      <c r="N343">
        <v>5.0269780722105502</v>
      </c>
      <c r="O343">
        <v>1050.22310356361</v>
      </c>
      <c r="P343">
        <v>8.5848415754650809</v>
      </c>
      <c r="Q343">
        <v>-1.57663892136621</v>
      </c>
      <c r="R343">
        <v>-248.1627</v>
      </c>
      <c r="S343">
        <v>-75.28</v>
      </c>
      <c r="T343">
        <f t="shared" si="30"/>
        <v>0</v>
      </c>
      <c r="U343">
        <f t="shared" si="31"/>
        <v>0</v>
      </c>
      <c r="V343">
        <f t="shared" si="32"/>
        <v>0</v>
      </c>
      <c r="W343">
        <f t="shared" si="33"/>
        <v>0</v>
      </c>
      <c r="X343">
        <f t="shared" si="34"/>
        <v>0</v>
      </c>
      <c r="Y343">
        <f t="shared" si="35"/>
        <v>0</v>
      </c>
    </row>
    <row r="344" spans="1:26" hidden="1" x14ac:dyDescent="0.35">
      <c r="A344">
        <v>342</v>
      </c>
      <c r="C344" t="s">
        <v>667</v>
      </c>
      <c r="D344" t="s">
        <v>668</v>
      </c>
      <c r="E344" s="1">
        <v>36301</v>
      </c>
      <c r="F344" t="s">
        <v>24</v>
      </c>
      <c r="G344">
        <v>81777</v>
      </c>
      <c r="H344">
        <v>-356.34090905887399</v>
      </c>
      <c r="I344">
        <v>7.2748830094919699</v>
      </c>
      <c r="J344">
        <v>3.5634090905887401</v>
      </c>
      <c r="K344">
        <v>7.2079999999999904</v>
      </c>
      <c r="L344">
        <v>699.36597881297496</v>
      </c>
      <c r="M344">
        <v>577.90145784305196</v>
      </c>
      <c r="N344">
        <v>2.2863959509879299</v>
      </c>
      <c r="O344">
        <v>1050.1756369377699</v>
      </c>
      <c r="P344">
        <v>0.115983865523931</v>
      </c>
      <c r="Q344">
        <v>-0.72321618380835695</v>
      </c>
      <c r="R344">
        <v>-231.51169999999999</v>
      </c>
      <c r="S344">
        <v>-31.79</v>
      </c>
      <c r="T344">
        <f t="shared" si="30"/>
        <v>0</v>
      </c>
      <c r="U344">
        <f t="shared" si="31"/>
        <v>0</v>
      </c>
      <c r="V344">
        <f t="shared" si="32"/>
        <v>0</v>
      </c>
      <c r="W344">
        <f t="shared" si="33"/>
        <v>0</v>
      </c>
      <c r="X344">
        <f t="shared" si="34"/>
        <v>0</v>
      </c>
      <c r="Y344">
        <f t="shared" si="35"/>
        <v>0</v>
      </c>
    </row>
    <row r="345" spans="1:26" hidden="1" x14ac:dyDescent="0.35">
      <c r="A345">
        <v>343</v>
      </c>
      <c r="C345" t="s">
        <v>669</v>
      </c>
      <c r="D345" t="s">
        <v>670</v>
      </c>
      <c r="E345" s="1">
        <v>36293</v>
      </c>
      <c r="F345" t="s">
        <v>21</v>
      </c>
      <c r="G345">
        <v>76972</v>
      </c>
      <c r="H345">
        <v>439.81979372728802</v>
      </c>
      <c r="I345">
        <v>-3.76229755207109</v>
      </c>
      <c r="J345">
        <v>-4.3981979372728803</v>
      </c>
      <c r="K345">
        <v>5.0759999999999996</v>
      </c>
      <c r="L345">
        <v>-389.45982991664903</v>
      </c>
      <c r="M345">
        <v>665.13384816883502</v>
      </c>
      <c r="N345">
        <v>-6.3241102832622396</v>
      </c>
      <c r="O345">
        <v>945.17582696460704</v>
      </c>
      <c r="P345">
        <v>1.66345457152891</v>
      </c>
      <c r="Q345">
        <v>0.65483979749239596</v>
      </c>
      <c r="R345">
        <v>-252.48405</v>
      </c>
      <c r="S345">
        <v>200.9</v>
      </c>
      <c r="T345">
        <f t="shared" si="30"/>
        <v>0</v>
      </c>
      <c r="U345">
        <f t="shared" si="31"/>
        <v>0</v>
      </c>
      <c r="V345">
        <f t="shared" si="32"/>
        <v>0</v>
      </c>
      <c r="W345">
        <f t="shared" si="33"/>
        <v>0</v>
      </c>
      <c r="X345">
        <f t="shared" si="34"/>
        <v>0</v>
      </c>
      <c r="Y345">
        <f t="shared" si="35"/>
        <v>0</v>
      </c>
    </row>
    <row r="346" spans="1:26" hidden="1" x14ac:dyDescent="0.35">
      <c r="A346">
        <v>344</v>
      </c>
      <c r="C346" t="s">
        <v>362</v>
      </c>
      <c r="D346" t="s">
        <v>671</v>
      </c>
      <c r="E346" s="1">
        <v>36589</v>
      </c>
      <c r="F346" t="s">
        <v>21</v>
      </c>
      <c r="G346">
        <v>76722</v>
      </c>
      <c r="H346">
        <v>238.81691445157</v>
      </c>
      <c r="I346">
        <v>4.91762849428605</v>
      </c>
      <c r="J346">
        <v>-2.3881691445156901</v>
      </c>
      <c r="K346">
        <v>5.3329999999999904</v>
      </c>
      <c r="M346">
        <v>442.40870936986602</v>
      </c>
      <c r="N346">
        <v>1.7708407659768299</v>
      </c>
      <c r="P346">
        <v>3.6670126799241798</v>
      </c>
      <c r="Q346">
        <v>0.261866936382675</v>
      </c>
      <c r="R346">
        <v>-244.24324999999999</v>
      </c>
      <c r="S346">
        <v>-6.09</v>
      </c>
      <c r="T346">
        <f t="shared" si="30"/>
        <v>0</v>
      </c>
      <c r="U346">
        <f t="shared" si="31"/>
        <v>0</v>
      </c>
      <c r="V346">
        <f t="shared" si="32"/>
        <v>0</v>
      </c>
      <c r="W346">
        <f t="shared" si="33"/>
        <v>0</v>
      </c>
      <c r="X346">
        <f t="shared" si="34"/>
        <v>0</v>
      </c>
      <c r="Y346">
        <f t="shared" si="35"/>
        <v>0</v>
      </c>
    </row>
    <row r="347" spans="1:26" hidden="1" x14ac:dyDescent="0.35">
      <c r="A347">
        <v>345</v>
      </c>
      <c r="C347" t="s">
        <v>672</v>
      </c>
      <c r="D347" t="s">
        <v>673</v>
      </c>
      <c r="E347" s="1">
        <v>36504</v>
      </c>
      <c r="F347" t="s">
        <v>24</v>
      </c>
      <c r="G347">
        <v>52248</v>
      </c>
      <c r="H347">
        <v>329.72690654928999</v>
      </c>
      <c r="I347">
        <v>6.3622456112758199</v>
      </c>
      <c r="J347">
        <v>-3.2972690654929</v>
      </c>
      <c r="K347">
        <v>5.351</v>
      </c>
      <c r="L347">
        <v>-954.64613471548796</v>
      </c>
      <c r="M347">
        <v>422.92880114190399</v>
      </c>
      <c r="N347">
        <v>3.7066135701639902</v>
      </c>
      <c r="O347">
        <v>1076.7921169484</v>
      </c>
      <c r="P347">
        <v>6.7424802859058302</v>
      </c>
      <c r="Q347">
        <v>-3.7257035780202202E-2</v>
      </c>
      <c r="R347">
        <v>-242.70419000000001</v>
      </c>
      <c r="S347">
        <v>18.91</v>
      </c>
      <c r="T347">
        <f t="shared" si="30"/>
        <v>0</v>
      </c>
      <c r="U347">
        <f t="shared" si="31"/>
        <v>0</v>
      </c>
      <c r="V347">
        <f t="shared" si="32"/>
        <v>0</v>
      </c>
      <c r="W347">
        <f t="shared" si="33"/>
        <v>0</v>
      </c>
      <c r="X347">
        <f t="shared" si="34"/>
        <v>0</v>
      </c>
      <c r="Y347">
        <f t="shared" si="35"/>
        <v>0</v>
      </c>
    </row>
    <row r="348" spans="1:26" hidden="1" x14ac:dyDescent="0.35">
      <c r="A348">
        <v>346</v>
      </c>
      <c r="C348" t="s">
        <v>551</v>
      </c>
      <c r="D348" t="s">
        <v>674</v>
      </c>
      <c r="E348" s="1">
        <v>35997</v>
      </c>
      <c r="F348" t="s">
        <v>21</v>
      </c>
      <c r="G348">
        <v>53137</v>
      </c>
      <c r="H348">
        <v>425.50357969398902</v>
      </c>
      <c r="I348">
        <v>5.8303534497566902</v>
      </c>
      <c r="J348">
        <v>-4.2550357969398904</v>
      </c>
      <c r="K348">
        <v>5.8520000000000003</v>
      </c>
      <c r="L348">
        <v>-520.35277334462205</v>
      </c>
      <c r="M348">
        <v>386.12548084905399</v>
      </c>
      <c r="N348">
        <v>6.2482124510806498</v>
      </c>
      <c r="O348">
        <v>1049.6552550383201</v>
      </c>
      <c r="P348">
        <v>4.1769028317489401</v>
      </c>
      <c r="Q348">
        <v>-1.2165260592281599</v>
      </c>
      <c r="R348">
        <v>-242.53747000000001</v>
      </c>
      <c r="S348">
        <v>-30.29</v>
      </c>
      <c r="T348">
        <f t="shared" si="30"/>
        <v>0</v>
      </c>
      <c r="U348">
        <f t="shared" si="31"/>
        <v>0</v>
      </c>
      <c r="V348">
        <f t="shared" si="32"/>
        <v>0</v>
      </c>
      <c r="W348">
        <f t="shared" si="33"/>
        <v>0</v>
      </c>
      <c r="X348">
        <f t="shared" si="34"/>
        <v>0</v>
      </c>
      <c r="Y348">
        <f t="shared" si="35"/>
        <v>0</v>
      </c>
    </row>
    <row r="349" spans="1:26" hidden="1" x14ac:dyDescent="0.35">
      <c r="A349">
        <v>347</v>
      </c>
      <c r="C349" t="s">
        <v>675</v>
      </c>
      <c r="D349" t="s">
        <v>676</v>
      </c>
      <c r="E349" s="1">
        <v>37196</v>
      </c>
      <c r="F349" t="s">
        <v>21</v>
      </c>
      <c r="G349">
        <v>77901</v>
      </c>
      <c r="H349">
        <v>-554.09851571802596</v>
      </c>
      <c r="I349">
        <v>3.4878197569958398</v>
      </c>
      <c r="J349">
        <v>5.54098515718026</v>
      </c>
      <c r="K349">
        <v>5.391</v>
      </c>
      <c r="L349">
        <v>522.36741413683001</v>
      </c>
      <c r="M349">
        <v>635.53448499798401</v>
      </c>
      <c r="N349">
        <v>5.2670512974795303</v>
      </c>
      <c r="O349">
        <v>1028.4999740845701</v>
      </c>
      <c r="P349">
        <v>5.4409056964729396</v>
      </c>
      <c r="Q349">
        <v>1.0814704799732699</v>
      </c>
      <c r="R349">
        <v>-232.33609000000001</v>
      </c>
      <c r="S349">
        <v>-30.01</v>
      </c>
      <c r="T349">
        <f t="shared" si="30"/>
        <v>0</v>
      </c>
      <c r="U349">
        <f t="shared" si="31"/>
        <v>0</v>
      </c>
      <c r="V349">
        <f t="shared" si="32"/>
        <v>0</v>
      </c>
      <c r="W349">
        <f t="shared" si="33"/>
        <v>0</v>
      </c>
      <c r="X349">
        <f t="shared" si="34"/>
        <v>0</v>
      </c>
      <c r="Y349">
        <f t="shared" si="35"/>
        <v>0</v>
      </c>
    </row>
    <row r="350" spans="1:26" hidden="1" x14ac:dyDescent="0.35">
      <c r="A350">
        <v>348</v>
      </c>
      <c r="C350" t="s">
        <v>677</v>
      </c>
      <c r="D350" t="s">
        <v>678</v>
      </c>
      <c r="E350" s="1">
        <v>35382</v>
      </c>
      <c r="F350" t="s">
        <v>24</v>
      </c>
      <c r="G350">
        <v>40129</v>
      </c>
      <c r="H350">
        <v>-420.61144308233798</v>
      </c>
      <c r="I350">
        <v>3.91602397595461</v>
      </c>
      <c r="J350">
        <v>4.2061144308233898</v>
      </c>
      <c r="K350">
        <v>5.5829999999999904</v>
      </c>
      <c r="L350">
        <v>416.73910267947002</v>
      </c>
      <c r="M350">
        <v>583.670214488905</v>
      </c>
      <c r="N350">
        <v>4.9157531356623299</v>
      </c>
      <c r="O350">
        <v>1056.63930675247</v>
      </c>
      <c r="P350">
        <v>7.7754104220016904</v>
      </c>
      <c r="Q350">
        <v>0.89448425451047797</v>
      </c>
      <c r="R350">
        <v>-231.51560000000001</v>
      </c>
      <c r="S350">
        <v>-5.95</v>
      </c>
      <c r="T350">
        <f t="shared" si="30"/>
        <v>0</v>
      </c>
      <c r="U350">
        <f t="shared" si="31"/>
        <v>0</v>
      </c>
      <c r="V350">
        <f t="shared" si="32"/>
        <v>0</v>
      </c>
      <c r="W350">
        <f t="shared" si="33"/>
        <v>0</v>
      </c>
      <c r="X350">
        <f t="shared" si="34"/>
        <v>0</v>
      </c>
      <c r="Y350">
        <f t="shared" si="35"/>
        <v>0</v>
      </c>
    </row>
    <row r="351" spans="1:26" hidden="1" x14ac:dyDescent="0.35">
      <c r="A351">
        <v>349</v>
      </c>
      <c r="C351" t="s">
        <v>679</v>
      </c>
      <c r="D351" t="s">
        <v>184</v>
      </c>
      <c r="E351" s="1">
        <v>35704</v>
      </c>
      <c r="F351" t="s">
        <v>21</v>
      </c>
      <c r="G351">
        <v>37609</v>
      </c>
      <c r="H351">
        <v>-659.1611037609</v>
      </c>
      <c r="I351">
        <v>-5.6866336590582103</v>
      </c>
      <c r="J351">
        <v>6.5916110376089998</v>
      </c>
      <c r="K351">
        <v>-6.282</v>
      </c>
      <c r="L351">
        <v>-418.16845051744002</v>
      </c>
      <c r="M351">
        <v>367.54739412759898</v>
      </c>
      <c r="N351">
        <v>4.2128881232517497</v>
      </c>
      <c r="O351">
        <v>1068.3401235465799</v>
      </c>
      <c r="P351">
        <v>9.5483662169907397</v>
      </c>
      <c r="Q351">
        <v>-1.8528968455914301</v>
      </c>
      <c r="R351">
        <v>-249.60082</v>
      </c>
      <c r="S351">
        <v>-83.83</v>
      </c>
      <c r="T351">
        <f t="shared" si="30"/>
        <v>0</v>
      </c>
      <c r="U351">
        <f t="shared" si="31"/>
        <v>0</v>
      </c>
      <c r="V351">
        <f t="shared" si="32"/>
        <v>0</v>
      </c>
      <c r="W351">
        <f t="shared" si="33"/>
        <v>0</v>
      </c>
      <c r="X351">
        <f t="shared" si="34"/>
        <v>0</v>
      </c>
      <c r="Y351">
        <f t="shared" si="35"/>
        <v>0</v>
      </c>
    </row>
    <row r="352" spans="1:26" hidden="1" x14ac:dyDescent="0.35">
      <c r="A352">
        <v>350</v>
      </c>
      <c r="C352" t="s">
        <v>680</v>
      </c>
      <c r="D352" t="s">
        <v>681</v>
      </c>
      <c r="E352" s="1">
        <v>36773</v>
      </c>
      <c r="F352" t="s">
        <v>24</v>
      </c>
      <c r="G352">
        <v>88967</v>
      </c>
      <c r="H352">
        <v>-226.431258388571</v>
      </c>
      <c r="I352">
        <v>-6.2716395387075803</v>
      </c>
      <c r="J352">
        <v>2.2643125838857099</v>
      </c>
      <c r="K352">
        <v>-8.1829999999999998</v>
      </c>
      <c r="L352">
        <v>-427.42693268946999</v>
      </c>
      <c r="M352">
        <v>386.065207477218</v>
      </c>
      <c r="N352">
        <v>2.0986124488313198</v>
      </c>
      <c r="O352">
        <v>1062.09833557709</v>
      </c>
      <c r="P352">
        <v>7.68939018025719</v>
      </c>
      <c r="Q352">
        <v>-1.15541812025083</v>
      </c>
      <c r="R352">
        <v>-258.52837</v>
      </c>
      <c r="S352">
        <v>-93.98</v>
      </c>
      <c r="T352">
        <f t="shared" si="30"/>
        <v>0</v>
      </c>
      <c r="U352">
        <f t="shared" si="31"/>
        <v>0</v>
      </c>
      <c r="V352">
        <f t="shared" si="32"/>
        <v>0</v>
      </c>
      <c r="W352">
        <f t="shared" si="33"/>
        <v>0</v>
      </c>
      <c r="X352">
        <f t="shared" si="34"/>
        <v>0</v>
      </c>
      <c r="Y352">
        <f t="shared" si="35"/>
        <v>0</v>
      </c>
    </row>
    <row r="353" spans="1:25" hidden="1" x14ac:dyDescent="0.35">
      <c r="A353">
        <v>351</v>
      </c>
      <c r="C353" t="s">
        <v>240</v>
      </c>
      <c r="D353" t="s">
        <v>682</v>
      </c>
      <c r="E353" s="1">
        <v>35404</v>
      </c>
      <c r="F353" t="s">
        <v>21</v>
      </c>
      <c r="G353">
        <v>44695</v>
      </c>
      <c r="H353">
        <v>472.27152546709698</v>
      </c>
      <c r="I353">
        <v>-4.9417574168342702</v>
      </c>
      <c r="J353">
        <v>-4.7227152546709696</v>
      </c>
      <c r="K353">
        <v>5.4909999999999997</v>
      </c>
      <c r="L353">
        <v>-363.73769041816098</v>
      </c>
      <c r="M353">
        <v>621.96780689182197</v>
      </c>
      <c r="N353">
        <v>-5.3212512889176899</v>
      </c>
      <c r="O353">
        <v>940.01863722507096</v>
      </c>
      <c r="P353">
        <v>2.5108777398976998</v>
      </c>
      <c r="Q353">
        <v>0.63014838670739004</v>
      </c>
      <c r="R353">
        <v>-251.61443</v>
      </c>
      <c r="S353">
        <v>207.78</v>
      </c>
      <c r="T353">
        <f t="shared" si="30"/>
        <v>0</v>
      </c>
      <c r="U353">
        <f t="shared" si="31"/>
        <v>0</v>
      </c>
      <c r="V353">
        <f t="shared" si="32"/>
        <v>0</v>
      </c>
      <c r="W353">
        <f t="shared" si="33"/>
        <v>0</v>
      </c>
      <c r="X353">
        <f t="shared" si="34"/>
        <v>0</v>
      </c>
      <c r="Y353">
        <f t="shared" si="35"/>
        <v>0</v>
      </c>
    </row>
    <row r="354" spans="1:25" hidden="1" x14ac:dyDescent="0.35">
      <c r="A354">
        <v>352</v>
      </c>
      <c r="C354" t="s">
        <v>683</v>
      </c>
      <c r="D354" t="s">
        <v>684</v>
      </c>
      <c r="E354" s="1">
        <v>36851</v>
      </c>
      <c r="F354" t="s">
        <v>24</v>
      </c>
      <c r="G354">
        <v>53711</v>
      </c>
      <c r="H354">
        <v>440.60405565620903</v>
      </c>
      <c r="I354">
        <v>5.72765501985526</v>
      </c>
      <c r="J354">
        <v>-4.4060405565621004</v>
      </c>
      <c r="K354">
        <v>3.6349999999999998</v>
      </c>
      <c r="L354">
        <v>-499.81373239354298</v>
      </c>
      <c r="M354">
        <v>404.29560696450199</v>
      </c>
      <c r="N354">
        <v>-0.83368697603369002</v>
      </c>
      <c r="O354">
        <v>1053.19706166837</v>
      </c>
      <c r="P354">
        <v>1.25216312079488</v>
      </c>
      <c r="Q354">
        <v>0.49509562071635599</v>
      </c>
      <c r="R354">
        <v>-246.60538</v>
      </c>
      <c r="S354">
        <v>54.86</v>
      </c>
      <c r="T354">
        <f t="shared" si="30"/>
        <v>0</v>
      </c>
      <c r="U354">
        <f t="shared" si="31"/>
        <v>0</v>
      </c>
      <c r="V354">
        <f t="shared" si="32"/>
        <v>0</v>
      </c>
      <c r="W354">
        <f t="shared" si="33"/>
        <v>0</v>
      </c>
      <c r="X354">
        <f t="shared" si="34"/>
        <v>0</v>
      </c>
      <c r="Y354">
        <f t="shared" si="35"/>
        <v>0</v>
      </c>
    </row>
    <row r="355" spans="1:25" hidden="1" x14ac:dyDescent="0.35">
      <c r="A355">
        <v>353</v>
      </c>
      <c r="C355" t="s">
        <v>685</v>
      </c>
      <c r="D355" t="s">
        <v>686</v>
      </c>
      <c r="E355" s="1">
        <v>35924</v>
      </c>
      <c r="F355" t="s">
        <v>21</v>
      </c>
      <c r="G355">
        <v>53520</v>
      </c>
      <c r="H355">
        <v>-418.09448117408101</v>
      </c>
      <c r="I355">
        <v>5.8517433588250203</v>
      </c>
      <c r="J355">
        <v>4.1809448117408099</v>
      </c>
      <c r="K355">
        <v>4.9870000000000001</v>
      </c>
      <c r="L355">
        <v>608.93729494082197</v>
      </c>
      <c r="M355">
        <v>592.61807760591103</v>
      </c>
      <c r="N355">
        <v>6.6996289768536501</v>
      </c>
      <c r="O355">
        <v>1062.8274113426701</v>
      </c>
      <c r="P355">
        <v>8.1356436255928006</v>
      </c>
      <c r="Q355">
        <v>-0.25021490163989701</v>
      </c>
      <c r="R355">
        <v>-230.24708999999999</v>
      </c>
      <c r="S355">
        <v>-35.380000000000003</v>
      </c>
      <c r="T355">
        <f t="shared" si="30"/>
        <v>0</v>
      </c>
      <c r="U355">
        <f t="shared" si="31"/>
        <v>0</v>
      </c>
      <c r="V355">
        <f t="shared" si="32"/>
        <v>0</v>
      </c>
      <c r="W355">
        <f t="shared" si="33"/>
        <v>0</v>
      </c>
      <c r="X355">
        <f t="shared" si="34"/>
        <v>0</v>
      </c>
      <c r="Y355">
        <f t="shared" si="35"/>
        <v>0</v>
      </c>
    </row>
    <row r="356" spans="1:25" hidden="1" x14ac:dyDescent="0.35">
      <c r="A356">
        <v>354</v>
      </c>
      <c r="C356" t="s">
        <v>687</v>
      </c>
      <c r="D356" t="s">
        <v>77</v>
      </c>
      <c r="E356" s="1">
        <v>36769</v>
      </c>
      <c r="F356" t="s">
        <v>24</v>
      </c>
      <c r="G356">
        <v>33102</v>
      </c>
      <c r="H356">
        <v>-623.647387482368</v>
      </c>
      <c r="I356">
        <v>-3.1876925696398501</v>
      </c>
      <c r="J356">
        <v>6.2364738748236803</v>
      </c>
      <c r="K356">
        <v>-2.8620000000000001</v>
      </c>
      <c r="L356">
        <v>-568.32033330858496</v>
      </c>
      <c r="M356">
        <v>410.39250406456</v>
      </c>
      <c r="N356">
        <v>4.9065463601846702</v>
      </c>
      <c r="P356">
        <v>9.0684917572841499</v>
      </c>
      <c r="Q356">
        <v>0.91668531697858602</v>
      </c>
      <c r="R356">
        <v>-245.30267000000001</v>
      </c>
      <c r="S356">
        <v>-41.17</v>
      </c>
      <c r="T356">
        <f t="shared" si="30"/>
        <v>0</v>
      </c>
      <c r="U356">
        <f t="shared" si="31"/>
        <v>0</v>
      </c>
      <c r="V356">
        <f t="shared" si="32"/>
        <v>0</v>
      </c>
      <c r="W356">
        <f t="shared" si="33"/>
        <v>0</v>
      </c>
      <c r="X356">
        <f t="shared" si="34"/>
        <v>0</v>
      </c>
      <c r="Y356">
        <f t="shared" si="35"/>
        <v>0</v>
      </c>
    </row>
    <row r="357" spans="1:25" hidden="1" x14ac:dyDescent="0.35">
      <c r="A357">
        <v>355</v>
      </c>
      <c r="C357" t="s">
        <v>605</v>
      </c>
      <c r="D357" t="s">
        <v>688</v>
      </c>
      <c r="E357" s="1">
        <v>35915</v>
      </c>
      <c r="F357" t="s">
        <v>21</v>
      </c>
      <c r="G357">
        <v>33825</v>
      </c>
      <c r="H357">
        <v>559.19543908999299</v>
      </c>
      <c r="I357">
        <v>4.3504324731216997</v>
      </c>
      <c r="J357">
        <v>-5.5919543908999296</v>
      </c>
      <c r="L357">
        <v>-435.67558429164598</v>
      </c>
      <c r="M357">
        <v>397.00275742864699</v>
      </c>
      <c r="N357">
        <v>6.4741382279697701</v>
      </c>
      <c r="P357">
        <v>6.95314027785549</v>
      </c>
      <c r="Q357">
        <v>0.98883509935950198</v>
      </c>
      <c r="R357">
        <v>-244.13999000000001</v>
      </c>
      <c r="S357">
        <v>1.56</v>
      </c>
      <c r="T357">
        <f t="shared" si="30"/>
        <v>0</v>
      </c>
      <c r="U357">
        <f t="shared" si="31"/>
        <v>0</v>
      </c>
      <c r="V357">
        <f t="shared" si="32"/>
        <v>0</v>
      </c>
      <c r="W357">
        <f t="shared" si="33"/>
        <v>0</v>
      </c>
      <c r="X357">
        <f t="shared" si="34"/>
        <v>0</v>
      </c>
      <c r="Y357">
        <f t="shared" si="35"/>
        <v>0</v>
      </c>
    </row>
    <row r="358" spans="1:25" hidden="1" x14ac:dyDescent="0.35">
      <c r="A358">
        <v>356</v>
      </c>
      <c r="C358" t="s">
        <v>689</v>
      </c>
      <c r="D358" t="s">
        <v>272</v>
      </c>
      <c r="E358" s="1">
        <v>36952</v>
      </c>
      <c r="F358" t="s">
        <v>24</v>
      </c>
      <c r="G358">
        <v>25186</v>
      </c>
      <c r="H358">
        <v>535.47474012816997</v>
      </c>
      <c r="I358">
        <v>7.2257434122234203</v>
      </c>
      <c r="J358">
        <v>-5.3547474012817</v>
      </c>
      <c r="K358">
        <v>5.04</v>
      </c>
      <c r="L358">
        <v>-130.16504829989699</v>
      </c>
      <c r="M358">
        <v>334.429140801301</v>
      </c>
      <c r="N358">
        <v>4.4598189943150901</v>
      </c>
      <c r="O358">
        <v>1019.70011201162</v>
      </c>
      <c r="P358">
        <v>-3.4666357648764899E-3</v>
      </c>
      <c r="Q358">
        <v>0.23415609392498099</v>
      </c>
      <c r="R358">
        <v>-242.58497</v>
      </c>
      <c r="S358">
        <v>19.12</v>
      </c>
      <c r="T358">
        <f t="shared" si="30"/>
        <v>0</v>
      </c>
      <c r="U358">
        <f t="shared" si="31"/>
        <v>0</v>
      </c>
      <c r="V358">
        <f t="shared" si="32"/>
        <v>0</v>
      </c>
      <c r="W358">
        <f t="shared" si="33"/>
        <v>0</v>
      </c>
      <c r="X358">
        <f t="shared" si="34"/>
        <v>0</v>
      </c>
      <c r="Y358">
        <f t="shared" si="35"/>
        <v>0</v>
      </c>
    </row>
    <row r="359" spans="1:25" hidden="1" x14ac:dyDescent="0.35">
      <c r="A359">
        <v>357</v>
      </c>
      <c r="C359" t="s">
        <v>690</v>
      </c>
      <c r="D359" t="s">
        <v>691</v>
      </c>
      <c r="E359" s="1">
        <v>36199</v>
      </c>
      <c r="F359" t="s">
        <v>21</v>
      </c>
      <c r="G359">
        <v>64622</v>
      </c>
      <c r="H359">
        <v>377.11307912419198</v>
      </c>
      <c r="I359">
        <v>4.4158176903587503</v>
      </c>
      <c r="J359">
        <v>-3.7711307912419199</v>
      </c>
      <c r="K359">
        <v>5.8829999999999902</v>
      </c>
      <c r="L359">
        <v>-1041.32365814284</v>
      </c>
      <c r="M359">
        <v>446.22903359407798</v>
      </c>
      <c r="N359">
        <v>4.8462394649830003</v>
      </c>
      <c r="O359">
        <v>1088.3731275227599</v>
      </c>
      <c r="P359">
        <v>9.0830159234764096</v>
      </c>
      <c r="Q359">
        <v>-1.1236096278669501</v>
      </c>
      <c r="R359">
        <v>-243.85386</v>
      </c>
      <c r="S359">
        <v>-14.66</v>
      </c>
      <c r="T359">
        <f t="shared" si="30"/>
        <v>0</v>
      </c>
      <c r="U359">
        <f t="shared" si="31"/>
        <v>0</v>
      </c>
      <c r="V359">
        <f t="shared" si="32"/>
        <v>0</v>
      </c>
      <c r="W359">
        <f t="shared" si="33"/>
        <v>0</v>
      </c>
      <c r="X359">
        <f t="shared" si="34"/>
        <v>0</v>
      </c>
      <c r="Y359">
        <f t="shared" si="35"/>
        <v>0</v>
      </c>
    </row>
    <row r="360" spans="1:25" hidden="1" x14ac:dyDescent="0.35">
      <c r="A360">
        <v>358</v>
      </c>
      <c r="C360" t="s">
        <v>692</v>
      </c>
      <c r="D360" t="s">
        <v>693</v>
      </c>
      <c r="E360" s="1">
        <v>36674</v>
      </c>
      <c r="F360" t="s">
        <v>24</v>
      </c>
      <c r="G360">
        <v>41835</v>
      </c>
      <c r="H360">
        <v>633.17547419008201</v>
      </c>
      <c r="I360">
        <v>-5.1309117195420404</v>
      </c>
      <c r="J360">
        <v>-6.33175474190082</v>
      </c>
      <c r="K360">
        <v>3.6629999999999998</v>
      </c>
      <c r="L360">
        <v>-853.53726569597802</v>
      </c>
      <c r="M360">
        <v>568.60493933728696</v>
      </c>
      <c r="N360">
        <v>-6.4040545033558596</v>
      </c>
      <c r="O360">
        <v>928.19759721566402</v>
      </c>
      <c r="P360">
        <v>2.0060260065667799</v>
      </c>
      <c r="Q360">
        <v>0.94087847845610495</v>
      </c>
      <c r="R360">
        <v>-256.83040999999997</v>
      </c>
      <c r="S360">
        <v>244.06</v>
      </c>
      <c r="T360">
        <f t="shared" si="30"/>
        <v>0</v>
      </c>
      <c r="U360">
        <f t="shared" si="31"/>
        <v>0</v>
      </c>
      <c r="V360">
        <f t="shared" si="32"/>
        <v>0</v>
      </c>
      <c r="W360">
        <f t="shared" si="33"/>
        <v>0</v>
      </c>
      <c r="X360">
        <f t="shared" si="34"/>
        <v>0</v>
      </c>
      <c r="Y360">
        <f t="shared" si="35"/>
        <v>0</v>
      </c>
    </row>
    <row r="361" spans="1:25" hidden="1" x14ac:dyDescent="0.35">
      <c r="A361">
        <v>359</v>
      </c>
      <c r="C361" t="s">
        <v>694</v>
      </c>
      <c r="D361" t="s">
        <v>695</v>
      </c>
      <c r="E361" s="1">
        <v>36483</v>
      </c>
      <c r="F361" t="s">
        <v>24</v>
      </c>
      <c r="G361">
        <v>73472</v>
      </c>
      <c r="H361">
        <v>101.55217372333399</v>
      </c>
      <c r="I361">
        <v>1.9362401311583699</v>
      </c>
      <c r="J361">
        <v>-1.01552173723334</v>
      </c>
      <c r="K361">
        <v>7.4550000000000001</v>
      </c>
      <c r="L361">
        <v>-635.603683222325</v>
      </c>
      <c r="M361">
        <v>380.99261196339302</v>
      </c>
      <c r="N361">
        <v>4.2901637036720901</v>
      </c>
      <c r="O361">
        <v>1076.6444108222699</v>
      </c>
      <c r="P361">
        <v>2.2985764643348898</v>
      </c>
      <c r="Q361">
        <v>0.72169394380598895</v>
      </c>
      <c r="R361">
        <v>-242.71655000000001</v>
      </c>
      <c r="S361">
        <v>-102.04</v>
      </c>
      <c r="T361">
        <f t="shared" si="30"/>
        <v>0</v>
      </c>
      <c r="U361">
        <f t="shared" si="31"/>
        <v>0</v>
      </c>
      <c r="V361">
        <f t="shared" si="32"/>
        <v>0</v>
      </c>
      <c r="W361">
        <f t="shared" si="33"/>
        <v>0</v>
      </c>
      <c r="X361">
        <f t="shared" si="34"/>
        <v>0</v>
      </c>
      <c r="Y361">
        <f t="shared" si="35"/>
        <v>0</v>
      </c>
    </row>
    <row r="362" spans="1:25" hidden="1" x14ac:dyDescent="0.35">
      <c r="A362">
        <v>360</v>
      </c>
      <c r="C362" t="s">
        <v>696</v>
      </c>
      <c r="D362" t="s">
        <v>656</v>
      </c>
      <c r="E362" s="1">
        <v>36739</v>
      </c>
      <c r="F362" t="s">
        <v>24</v>
      </c>
      <c r="G362">
        <v>56837</v>
      </c>
      <c r="H362">
        <v>-573.83499861894097</v>
      </c>
      <c r="I362">
        <v>4.3241910837962001</v>
      </c>
      <c r="J362">
        <v>5.7383499861894096</v>
      </c>
      <c r="K362">
        <v>5.01</v>
      </c>
      <c r="L362">
        <v>874.79339179144199</v>
      </c>
      <c r="M362">
        <v>628.00328914313502</v>
      </c>
      <c r="N362">
        <v>5.4077371459207004</v>
      </c>
      <c r="O362">
        <v>1071.4949050368</v>
      </c>
      <c r="P362">
        <v>8.0701334674880503</v>
      </c>
      <c r="Q362">
        <v>0.70248489035310302</v>
      </c>
      <c r="R362">
        <v>-229.23506</v>
      </c>
      <c r="S362">
        <v>-46.66</v>
      </c>
      <c r="T362">
        <f t="shared" si="30"/>
        <v>0</v>
      </c>
      <c r="U362">
        <f t="shared" si="31"/>
        <v>0</v>
      </c>
      <c r="V362">
        <f t="shared" si="32"/>
        <v>0</v>
      </c>
      <c r="W362">
        <f t="shared" si="33"/>
        <v>0</v>
      </c>
      <c r="X362">
        <f t="shared" si="34"/>
        <v>0</v>
      </c>
      <c r="Y362">
        <f t="shared" si="35"/>
        <v>0</v>
      </c>
    </row>
    <row r="363" spans="1:25" hidden="1" x14ac:dyDescent="0.35">
      <c r="A363">
        <v>361</v>
      </c>
      <c r="C363" t="s">
        <v>697</v>
      </c>
      <c r="D363" t="s">
        <v>698</v>
      </c>
      <c r="E363" s="1">
        <v>36357</v>
      </c>
      <c r="F363" t="s">
        <v>21</v>
      </c>
      <c r="G363">
        <v>46140</v>
      </c>
      <c r="H363">
        <v>557.97851522272902</v>
      </c>
      <c r="I363">
        <v>-3.7236221442952502</v>
      </c>
      <c r="J363">
        <v>-5.5797851522272897</v>
      </c>
      <c r="K363">
        <v>6.7560000000000002</v>
      </c>
      <c r="L363">
        <v>-346.01622624200797</v>
      </c>
      <c r="M363">
        <v>591.09255610710204</v>
      </c>
      <c r="N363">
        <v>-4.4590347186384403</v>
      </c>
      <c r="O363">
        <v>970.32999962717497</v>
      </c>
      <c r="P363">
        <v>2.8173134158180102</v>
      </c>
      <c r="Q363">
        <v>-0.92742430773529005</v>
      </c>
      <c r="R363">
        <v>-250.23733999999999</v>
      </c>
      <c r="S363">
        <v>166.96</v>
      </c>
      <c r="T363">
        <f t="shared" si="30"/>
        <v>0</v>
      </c>
      <c r="U363">
        <f t="shared" si="31"/>
        <v>0</v>
      </c>
      <c r="V363">
        <f t="shared" si="32"/>
        <v>0</v>
      </c>
      <c r="W363">
        <f t="shared" si="33"/>
        <v>0</v>
      </c>
      <c r="X363">
        <f t="shared" si="34"/>
        <v>0</v>
      </c>
      <c r="Y363">
        <f t="shared" si="35"/>
        <v>0</v>
      </c>
    </row>
    <row r="364" spans="1:25" hidden="1" x14ac:dyDescent="0.35">
      <c r="A364">
        <v>362</v>
      </c>
      <c r="C364" t="s">
        <v>397</v>
      </c>
      <c r="D364" t="s">
        <v>699</v>
      </c>
      <c r="E364" s="1">
        <v>37043</v>
      </c>
      <c r="F364" t="s">
        <v>24</v>
      </c>
      <c r="G364">
        <v>59723</v>
      </c>
      <c r="H364">
        <v>229.255776325158</v>
      </c>
      <c r="I364">
        <v>-4.4879947195105396</v>
      </c>
      <c r="J364">
        <v>-2.2925577632515801</v>
      </c>
      <c r="K364">
        <v>6.6229999999999896</v>
      </c>
      <c r="L364">
        <v>-98.126604544231796</v>
      </c>
      <c r="M364">
        <v>638.50497756299501</v>
      </c>
      <c r="N364">
        <v>-4.2402963157214897</v>
      </c>
      <c r="O364">
        <v>982.10889127682196</v>
      </c>
      <c r="P364">
        <v>3.1916746856509901</v>
      </c>
      <c r="Q364">
        <v>0.64797725222408797</v>
      </c>
      <c r="R364">
        <v>-247.31584000000001</v>
      </c>
      <c r="S364">
        <v>129.35</v>
      </c>
      <c r="T364">
        <f t="shared" si="30"/>
        <v>0</v>
      </c>
      <c r="U364">
        <f t="shared" si="31"/>
        <v>0</v>
      </c>
      <c r="V364">
        <f t="shared" si="32"/>
        <v>0</v>
      </c>
      <c r="W364">
        <f t="shared" si="33"/>
        <v>0</v>
      </c>
      <c r="X364">
        <f t="shared" si="34"/>
        <v>0</v>
      </c>
      <c r="Y364">
        <f t="shared" si="35"/>
        <v>0</v>
      </c>
    </row>
    <row r="365" spans="1:25" hidden="1" x14ac:dyDescent="0.35">
      <c r="A365">
        <v>363</v>
      </c>
      <c r="C365" t="s">
        <v>700</v>
      </c>
      <c r="D365" t="s">
        <v>701</v>
      </c>
      <c r="E365" s="1">
        <v>35801</v>
      </c>
      <c r="F365" t="s">
        <v>21</v>
      </c>
      <c r="G365">
        <v>76205</v>
      </c>
      <c r="H365">
        <v>-360.411443986687</v>
      </c>
      <c r="I365">
        <v>5.5325317386485198</v>
      </c>
      <c r="J365">
        <v>3.6041144398668701</v>
      </c>
      <c r="K365">
        <v>5.7910000000000004</v>
      </c>
      <c r="L365">
        <v>768.21545937020198</v>
      </c>
      <c r="M365">
        <v>608.91312391416398</v>
      </c>
      <c r="N365">
        <v>6.6576821334505398</v>
      </c>
      <c r="O365">
        <v>1053.25730106996</v>
      </c>
      <c r="P365">
        <v>6.0819244362835203</v>
      </c>
      <c r="Q365">
        <v>0.84404054133240203</v>
      </c>
      <c r="R365">
        <v>-231.14496</v>
      </c>
      <c r="S365">
        <v>-62.8</v>
      </c>
      <c r="T365">
        <f t="shared" si="30"/>
        <v>0</v>
      </c>
      <c r="U365">
        <f t="shared" si="31"/>
        <v>0</v>
      </c>
      <c r="V365">
        <f t="shared" si="32"/>
        <v>0</v>
      </c>
      <c r="W365">
        <f t="shared" si="33"/>
        <v>0</v>
      </c>
      <c r="X365">
        <f t="shared" si="34"/>
        <v>0</v>
      </c>
      <c r="Y365">
        <f t="shared" si="35"/>
        <v>0</v>
      </c>
    </row>
    <row r="366" spans="1:25" hidden="1" x14ac:dyDescent="0.35">
      <c r="A366">
        <v>364</v>
      </c>
      <c r="C366" t="s">
        <v>702</v>
      </c>
      <c r="D366" t="s">
        <v>703</v>
      </c>
      <c r="E366" s="1">
        <v>35641</v>
      </c>
      <c r="F366" t="s">
        <v>24</v>
      </c>
      <c r="G366">
        <v>45984</v>
      </c>
      <c r="H366">
        <v>391.78321765276399</v>
      </c>
      <c r="I366">
        <v>3.0125055466043502</v>
      </c>
      <c r="J366">
        <v>-3.9178321765276398</v>
      </c>
      <c r="K366">
        <v>5.8570000000000002</v>
      </c>
      <c r="L366">
        <v>-730.78188639119105</v>
      </c>
      <c r="M366">
        <v>495.020193038461</v>
      </c>
      <c r="N366">
        <v>6.1190827248064101</v>
      </c>
      <c r="O366">
        <v>1057.9402734361099</v>
      </c>
      <c r="P366">
        <v>10.9274506030564</v>
      </c>
      <c r="Q366">
        <v>1.1270456743569901</v>
      </c>
      <c r="R366">
        <v>-242.45532</v>
      </c>
      <c r="S366">
        <v>18.100000000000001</v>
      </c>
      <c r="T366">
        <f t="shared" si="30"/>
        <v>0</v>
      </c>
      <c r="U366">
        <f t="shared" si="31"/>
        <v>0</v>
      </c>
      <c r="V366">
        <f t="shared" si="32"/>
        <v>0</v>
      </c>
      <c r="W366">
        <f t="shared" si="33"/>
        <v>0</v>
      </c>
      <c r="X366">
        <f t="shared" si="34"/>
        <v>0</v>
      </c>
      <c r="Y366">
        <f t="shared" si="35"/>
        <v>0</v>
      </c>
    </row>
    <row r="367" spans="1:25" hidden="1" x14ac:dyDescent="0.35">
      <c r="A367">
        <v>365</v>
      </c>
      <c r="C367" t="s">
        <v>704</v>
      </c>
      <c r="D367" t="s">
        <v>705</v>
      </c>
      <c r="E367" s="1">
        <v>35632</v>
      </c>
      <c r="F367" t="s">
        <v>24</v>
      </c>
      <c r="G367">
        <v>51258</v>
      </c>
      <c r="H367">
        <v>359.31723508161201</v>
      </c>
      <c r="I367">
        <v>-3.6883392505705701</v>
      </c>
      <c r="J367">
        <v>-3.5931723508161202</v>
      </c>
      <c r="K367">
        <v>7.04</v>
      </c>
      <c r="L367">
        <v>-545.90420234266901</v>
      </c>
      <c r="M367">
        <v>614.27233395649603</v>
      </c>
      <c r="N367">
        <v>-5.7505658330993397</v>
      </c>
      <c r="O367">
        <v>957.11118546363195</v>
      </c>
      <c r="P367">
        <v>1.50710154190024</v>
      </c>
      <c r="Q367">
        <v>1.0576259053035599</v>
      </c>
      <c r="R367">
        <v>-249.47558000000001</v>
      </c>
      <c r="S367">
        <v>192.69</v>
      </c>
      <c r="T367">
        <f t="shared" si="30"/>
        <v>0</v>
      </c>
      <c r="U367">
        <f t="shared" si="31"/>
        <v>0</v>
      </c>
      <c r="V367">
        <f t="shared" si="32"/>
        <v>0</v>
      </c>
      <c r="W367">
        <f t="shared" si="33"/>
        <v>0</v>
      </c>
      <c r="X367">
        <f t="shared" si="34"/>
        <v>0</v>
      </c>
      <c r="Y367">
        <f t="shared" si="35"/>
        <v>0</v>
      </c>
    </row>
    <row r="368" spans="1:25" hidden="1" x14ac:dyDescent="0.35">
      <c r="A368">
        <v>366</v>
      </c>
      <c r="C368" t="s">
        <v>337</v>
      </c>
      <c r="D368" t="s">
        <v>706</v>
      </c>
      <c r="E368" s="1">
        <v>36632</v>
      </c>
      <c r="F368" t="s">
        <v>21</v>
      </c>
      <c r="G368">
        <v>48470</v>
      </c>
      <c r="H368">
        <v>362.13382768279303</v>
      </c>
      <c r="I368">
        <v>6.3463873243382203</v>
      </c>
      <c r="J368">
        <v>-3.6213382768279301</v>
      </c>
      <c r="K368">
        <v>4.8879999999999999</v>
      </c>
      <c r="L368">
        <v>-709.30727979438495</v>
      </c>
      <c r="M368">
        <v>416.80392238386497</v>
      </c>
      <c r="N368">
        <v>4.7297527631784</v>
      </c>
      <c r="O368">
        <v>1060.18861646184</v>
      </c>
      <c r="P368">
        <v>6.0668848835206299</v>
      </c>
      <c r="Q368">
        <v>-8.0508633354267597E-2</v>
      </c>
      <c r="R368">
        <v>-242.55581000000001</v>
      </c>
      <c r="S368">
        <v>13.46</v>
      </c>
      <c r="T368">
        <f t="shared" si="30"/>
        <v>0</v>
      </c>
      <c r="U368">
        <f t="shared" si="31"/>
        <v>0</v>
      </c>
      <c r="V368">
        <f t="shared" si="32"/>
        <v>0</v>
      </c>
      <c r="W368">
        <f t="shared" si="33"/>
        <v>0</v>
      </c>
      <c r="X368">
        <f t="shared" si="34"/>
        <v>0</v>
      </c>
      <c r="Y368">
        <f t="shared" si="35"/>
        <v>0</v>
      </c>
    </row>
    <row r="369" spans="1:26" hidden="1" x14ac:dyDescent="0.35">
      <c r="A369">
        <v>367</v>
      </c>
      <c r="C369" t="s">
        <v>507</v>
      </c>
      <c r="D369" t="s">
        <v>707</v>
      </c>
      <c r="E369" s="1">
        <v>36383</v>
      </c>
      <c r="F369" t="s">
        <v>21</v>
      </c>
      <c r="G369">
        <v>38973</v>
      </c>
      <c r="H369">
        <v>364.38915458434701</v>
      </c>
      <c r="I369">
        <v>4.7302016448642901</v>
      </c>
      <c r="J369">
        <v>-3.64389154584347</v>
      </c>
      <c r="K369">
        <v>5.1120000000000001</v>
      </c>
      <c r="L369">
        <v>-300.20860888476301</v>
      </c>
      <c r="N369">
        <v>8.3394833733843594</v>
      </c>
      <c r="O369">
        <v>1029.0320600816499</v>
      </c>
      <c r="P369">
        <v>6.4718198217675704</v>
      </c>
      <c r="Q369">
        <v>2.1274147740709801</v>
      </c>
      <c r="R369">
        <v>-241.14071000000001</v>
      </c>
      <c r="S369">
        <v>-20.32</v>
      </c>
      <c r="T369">
        <f t="shared" si="30"/>
        <v>0</v>
      </c>
      <c r="U369">
        <f t="shared" si="31"/>
        <v>0</v>
      </c>
      <c r="V369">
        <f t="shared" si="32"/>
        <v>0</v>
      </c>
      <c r="W369">
        <f t="shared" si="33"/>
        <v>0</v>
      </c>
      <c r="X369">
        <f t="shared" si="34"/>
        <v>0</v>
      </c>
      <c r="Y369">
        <f t="shared" si="35"/>
        <v>0</v>
      </c>
    </row>
    <row r="370" spans="1:26" hidden="1" x14ac:dyDescent="0.35">
      <c r="A370">
        <v>368</v>
      </c>
      <c r="C370" t="s">
        <v>708</v>
      </c>
      <c r="D370" t="s">
        <v>67</v>
      </c>
      <c r="E370" s="1">
        <v>37030</v>
      </c>
      <c r="F370" t="s">
        <v>24</v>
      </c>
      <c r="G370">
        <v>67545</v>
      </c>
      <c r="H370">
        <v>275.97567023751498</v>
      </c>
      <c r="I370">
        <v>-3.8720320556223502</v>
      </c>
      <c r="J370">
        <v>-2.7597567023751499</v>
      </c>
      <c r="K370">
        <v>5.077</v>
      </c>
      <c r="L370">
        <v>-619.29457861123001</v>
      </c>
      <c r="M370">
        <v>636.42573552913404</v>
      </c>
      <c r="N370">
        <v>-6.60641395282929</v>
      </c>
      <c r="O370">
        <v>967.61306669573196</v>
      </c>
      <c r="P370">
        <v>2.4107392495787199</v>
      </c>
      <c r="Q370">
        <v>1.5219080525556601</v>
      </c>
      <c r="R370">
        <v>-251.32835</v>
      </c>
      <c r="S370">
        <v>190.76</v>
      </c>
      <c r="T370">
        <f t="shared" si="30"/>
        <v>0</v>
      </c>
      <c r="U370">
        <f t="shared" si="31"/>
        <v>0</v>
      </c>
      <c r="V370">
        <f t="shared" si="32"/>
        <v>0</v>
      </c>
      <c r="W370">
        <f t="shared" si="33"/>
        <v>0</v>
      </c>
      <c r="X370">
        <f t="shared" si="34"/>
        <v>0</v>
      </c>
      <c r="Y370">
        <f t="shared" si="35"/>
        <v>0</v>
      </c>
    </row>
    <row r="371" spans="1:26" hidden="1" x14ac:dyDescent="0.35">
      <c r="A371">
        <v>369</v>
      </c>
      <c r="C371" t="s">
        <v>540</v>
      </c>
      <c r="D371" t="s">
        <v>709</v>
      </c>
      <c r="E371" s="1">
        <v>36296</v>
      </c>
      <c r="F371" t="s">
        <v>21</v>
      </c>
      <c r="G371">
        <v>62824</v>
      </c>
      <c r="H371">
        <v>380.392736521627</v>
      </c>
      <c r="I371">
        <v>3.4216204110369799</v>
      </c>
      <c r="J371">
        <v>-3.80392736521627</v>
      </c>
      <c r="K371">
        <v>3.9049999999999998</v>
      </c>
      <c r="L371">
        <v>-566.21335183829103</v>
      </c>
      <c r="M371">
        <v>404.25867048661598</v>
      </c>
      <c r="N371">
        <v>9.1867500393826997</v>
      </c>
      <c r="O371">
        <v>1058.6885214157801</v>
      </c>
      <c r="P371">
        <v>8.5927971833370993</v>
      </c>
      <c r="Q371">
        <v>0.78545996819624597</v>
      </c>
      <c r="R371">
        <v>-244.36895999999999</v>
      </c>
      <c r="S371">
        <v>-76.16</v>
      </c>
      <c r="T371">
        <f t="shared" si="30"/>
        <v>0</v>
      </c>
      <c r="U371">
        <f t="shared" si="31"/>
        <v>0</v>
      </c>
      <c r="V371">
        <f t="shared" si="32"/>
        <v>0</v>
      </c>
      <c r="W371">
        <f t="shared" si="33"/>
        <v>0</v>
      </c>
      <c r="X371">
        <f t="shared" si="34"/>
        <v>0</v>
      </c>
      <c r="Y371">
        <f t="shared" si="35"/>
        <v>0</v>
      </c>
    </row>
    <row r="372" spans="1:26" x14ac:dyDescent="0.35">
      <c r="A372">
        <v>370</v>
      </c>
      <c r="C372" t="s">
        <v>710</v>
      </c>
      <c r="D372" t="s">
        <v>711</v>
      </c>
      <c r="E372" s="1">
        <v>36409</v>
      </c>
      <c r="F372" t="s">
        <v>21</v>
      </c>
      <c r="G372">
        <v>60037</v>
      </c>
      <c r="J372">
        <v>4.16160212639143</v>
      </c>
      <c r="K372">
        <v>-6.0860000000000003</v>
      </c>
      <c r="L372">
        <v>-593.10729465248096</v>
      </c>
      <c r="M372">
        <v>389.49050699865302</v>
      </c>
      <c r="N372">
        <v>2.57348223053057</v>
      </c>
      <c r="O372">
        <v>1060.59045064264</v>
      </c>
      <c r="P372">
        <v>7.9485410177918396</v>
      </c>
      <c r="Q372">
        <v>2.41071464946526E-2</v>
      </c>
      <c r="R372">
        <v>-252.03586000000001</v>
      </c>
      <c r="S372">
        <v>-46.9</v>
      </c>
      <c r="T372">
        <f t="shared" si="30"/>
        <v>1</v>
      </c>
      <c r="U372">
        <f t="shared" si="31"/>
        <v>0</v>
      </c>
      <c r="V372">
        <f t="shared" si="32"/>
        <v>0</v>
      </c>
      <c r="W372">
        <f t="shared" si="33"/>
        <v>0</v>
      </c>
      <c r="X372">
        <f t="shared" si="34"/>
        <v>0</v>
      </c>
      <c r="Y372">
        <f t="shared" si="35"/>
        <v>1</v>
      </c>
      <c r="Z372">
        <f>SUM(T372:X372)</f>
        <v>1</v>
      </c>
    </row>
    <row r="373" spans="1:26" hidden="1" x14ac:dyDescent="0.35">
      <c r="A373">
        <v>371</v>
      </c>
      <c r="C373" t="s">
        <v>191</v>
      </c>
      <c r="D373" t="s">
        <v>712</v>
      </c>
      <c r="E373" s="1">
        <v>35937</v>
      </c>
      <c r="F373" t="s">
        <v>21</v>
      </c>
      <c r="G373">
        <v>27141</v>
      </c>
      <c r="H373">
        <v>586.88030518342896</v>
      </c>
      <c r="I373">
        <v>-3.07002878336858</v>
      </c>
      <c r="J373">
        <v>-5.8688030518342904</v>
      </c>
      <c r="K373">
        <v>7.657</v>
      </c>
      <c r="L373">
        <v>-526.40407906898895</v>
      </c>
      <c r="M373">
        <v>585.04771432646305</v>
      </c>
      <c r="N373">
        <v>-6.7957378008282596</v>
      </c>
      <c r="O373">
        <v>938.22851858203796</v>
      </c>
      <c r="P373">
        <v>0.205601945603333</v>
      </c>
      <c r="Q373">
        <v>0.60920889827840397</v>
      </c>
      <c r="R373">
        <v>-250.19702000000001</v>
      </c>
      <c r="S373">
        <v>244.96</v>
      </c>
      <c r="T373">
        <f t="shared" si="30"/>
        <v>0</v>
      </c>
      <c r="U373">
        <f t="shared" si="31"/>
        <v>0</v>
      </c>
      <c r="V373">
        <f t="shared" si="32"/>
        <v>0</v>
      </c>
      <c r="W373">
        <f t="shared" si="33"/>
        <v>0</v>
      </c>
      <c r="X373">
        <f t="shared" si="34"/>
        <v>0</v>
      </c>
      <c r="Y373">
        <f t="shared" si="35"/>
        <v>0</v>
      </c>
    </row>
    <row r="374" spans="1:26" hidden="1" x14ac:dyDescent="0.35">
      <c r="A374">
        <v>372</v>
      </c>
      <c r="C374" t="s">
        <v>713</v>
      </c>
      <c r="D374" t="s">
        <v>714</v>
      </c>
      <c r="E374" s="1">
        <v>35633</v>
      </c>
      <c r="F374" t="s">
        <v>24</v>
      </c>
      <c r="G374">
        <v>47339</v>
      </c>
      <c r="H374">
        <v>726.52529303969402</v>
      </c>
      <c r="I374">
        <v>-3.4679056939719199</v>
      </c>
      <c r="J374">
        <v>-7.2652529303969402</v>
      </c>
      <c r="K374">
        <v>5.5129999999999999</v>
      </c>
      <c r="L374">
        <v>-591.88252177281504</v>
      </c>
      <c r="M374">
        <v>614.67393026494904</v>
      </c>
      <c r="N374">
        <v>-5.8915648894792803</v>
      </c>
      <c r="O374">
        <v>941.351606794345</v>
      </c>
      <c r="P374">
        <v>2.8560821851176899</v>
      </c>
      <c r="Q374">
        <v>-1.9006078286218899</v>
      </c>
      <c r="R374">
        <v>-253.77151000000001</v>
      </c>
      <c r="S374">
        <v>238.24</v>
      </c>
      <c r="T374">
        <f t="shared" si="30"/>
        <v>0</v>
      </c>
      <c r="U374">
        <f t="shared" si="31"/>
        <v>0</v>
      </c>
      <c r="V374">
        <f t="shared" si="32"/>
        <v>0</v>
      </c>
      <c r="W374">
        <f t="shared" si="33"/>
        <v>0</v>
      </c>
      <c r="X374">
        <f t="shared" si="34"/>
        <v>0</v>
      </c>
      <c r="Y374">
        <f t="shared" si="35"/>
        <v>0</v>
      </c>
    </row>
    <row r="375" spans="1:26" hidden="1" x14ac:dyDescent="0.35">
      <c r="A375">
        <v>373</v>
      </c>
      <c r="C375" t="s">
        <v>365</v>
      </c>
      <c r="D375" t="s">
        <v>715</v>
      </c>
      <c r="E375" s="1">
        <v>35703</v>
      </c>
      <c r="F375" t="s">
        <v>24</v>
      </c>
      <c r="G375">
        <v>57751</v>
      </c>
      <c r="H375">
        <v>-405.60186531162702</v>
      </c>
      <c r="I375">
        <v>5.2500374326738699</v>
      </c>
      <c r="J375">
        <v>4.0560186531162703</v>
      </c>
      <c r="K375">
        <v>5.7149999999999999</v>
      </c>
      <c r="L375">
        <v>266.52380517215101</v>
      </c>
      <c r="M375">
        <v>659.69409157498501</v>
      </c>
      <c r="N375">
        <v>7.48349949547194</v>
      </c>
      <c r="O375">
        <v>1051.8903826523299</v>
      </c>
      <c r="P375">
        <v>11.4409912465731</v>
      </c>
      <c r="Q375">
        <v>-0.83143155884532804</v>
      </c>
      <c r="R375">
        <v>-230.18353999999999</v>
      </c>
      <c r="S375">
        <v>1.29</v>
      </c>
      <c r="T375">
        <f t="shared" si="30"/>
        <v>0</v>
      </c>
      <c r="U375">
        <f t="shared" si="31"/>
        <v>0</v>
      </c>
      <c r="V375">
        <f t="shared" si="32"/>
        <v>0</v>
      </c>
      <c r="W375">
        <f t="shared" si="33"/>
        <v>0</v>
      </c>
      <c r="X375">
        <f t="shared" si="34"/>
        <v>0</v>
      </c>
      <c r="Y375">
        <f t="shared" si="35"/>
        <v>0</v>
      </c>
    </row>
    <row r="376" spans="1:26" hidden="1" x14ac:dyDescent="0.35">
      <c r="A376">
        <v>374</v>
      </c>
      <c r="C376" t="s">
        <v>716</v>
      </c>
      <c r="D376" t="s">
        <v>717</v>
      </c>
      <c r="E376" s="1">
        <v>36731</v>
      </c>
      <c r="F376" t="s">
        <v>24</v>
      </c>
      <c r="G376">
        <v>61356</v>
      </c>
      <c r="H376">
        <v>297.34771081181498</v>
      </c>
      <c r="I376">
        <v>4.9533543451101298</v>
      </c>
      <c r="J376">
        <v>-2.9734771081181499</v>
      </c>
      <c r="K376">
        <v>5.0019999999999998</v>
      </c>
      <c r="L376">
        <v>-624.02584188342598</v>
      </c>
      <c r="M376">
        <v>418.231160862205</v>
      </c>
      <c r="N376">
        <v>3.17239392627256</v>
      </c>
      <c r="O376">
        <v>1060.2066244800301</v>
      </c>
      <c r="P376">
        <v>3.99453210026507</v>
      </c>
      <c r="Q376">
        <v>0.59073658929254602</v>
      </c>
      <c r="R376">
        <v>-243.83593999999999</v>
      </c>
      <c r="S376">
        <v>-5.0999999999999996</v>
      </c>
      <c r="T376">
        <f t="shared" si="30"/>
        <v>0</v>
      </c>
      <c r="U376">
        <f t="shared" si="31"/>
        <v>0</v>
      </c>
      <c r="V376">
        <f t="shared" si="32"/>
        <v>0</v>
      </c>
      <c r="W376">
        <f t="shared" si="33"/>
        <v>0</v>
      </c>
      <c r="X376">
        <f t="shared" si="34"/>
        <v>0</v>
      </c>
      <c r="Y376">
        <f t="shared" si="35"/>
        <v>0</v>
      </c>
    </row>
    <row r="377" spans="1:26" hidden="1" x14ac:dyDescent="0.35">
      <c r="A377">
        <v>375</v>
      </c>
      <c r="C377" t="s">
        <v>570</v>
      </c>
      <c r="D377" t="s">
        <v>718</v>
      </c>
      <c r="E377" s="1">
        <v>35589</v>
      </c>
      <c r="F377" t="s">
        <v>24</v>
      </c>
      <c r="G377">
        <v>83884</v>
      </c>
      <c r="H377">
        <v>164.68257095147499</v>
      </c>
      <c r="I377">
        <v>5.4197667061046202</v>
      </c>
      <c r="J377">
        <v>-1.64682570951475</v>
      </c>
      <c r="K377">
        <v>5.6920000000000002</v>
      </c>
      <c r="M377">
        <v>413.14590980666998</v>
      </c>
      <c r="N377">
        <v>-1.84945213648208</v>
      </c>
      <c r="O377">
        <v>1090.6253176755499</v>
      </c>
      <c r="P377">
        <v>0.55165504909041996</v>
      </c>
      <c r="Q377">
        <v>0.67210485658248198</v>
      </c>
      <c r="R377">
        <v>-245.23196999999999</v>
      </c>
      <c r="S377">
        <v>-0.02</v>
      </c>
      <c r="T377">
        <f t="shared" si="30"/>
        <v>0</v>
      </c>
      <c r="U377">
        <f t="shared" si="31"/>
        <v>0</v>
      </c>
      <c r="V377">
        <f t="shared" si="32"/>
        <v>0</v>
      </c>
      <c r="W377">
        <f t="shared" si="33"/>
        <v>0</v>
      </c>
      <c r="X377">
        <f t="shared" si="34"/>
        <v>0</v>
      </c>
      <c r="Y377">
        <f t="shared" si="35"/>
        <v>0</v>
      </c>
    </row>
    <row r="378" spans="1:26" hidden="1" x14ac:dyDescent="0.35">
      <c r="A378">
        <v>376</v>
      </c>
      <c r="C378" t="s">
        <v>700</v>
      </c>
      <c r="D378" t="s">
        <v>136</v>
      </c>
      <c r="E378" s="1">
        <v>36520</v>
      </c>
      <c r="F378" t="s">
        <v>21</v>
      </c>
      <c r="G378">
        <v>44625</v>
      </c>
      <c r="H378">
        <v>-674.525062137389</v>
      </c>
      <c r="I378">
        <v>5.3849723088226202</v>
      </c>
      <c r="J378">
        <v>6.7452506213738896</v>
      </c>
      <c r="K378">
        <v>2.831</v>
      </c>
      <c r="L378">
        <v>249.79274113899999</v>
      </c>
      <c r="M378">
        <v>535.61363590498399</v>
      </c>
      <c r="N378">
        <v>5.6127329285933598</v>
      </c>
      <c r="O378">
        <v>1028.02228343716</v>
      </c>
      <c r="P378">
        <v>4.9102706362389998</v>
      </c>
      <c r="Q378">
        <v>-0.39885291429320202</v>
      </c>
      <c r="R378">
        <v>-232.23301000000001</v>
      </c>
      <c r="S378">
        <v>-3.12</v>
      </c>
      <c r="T378">
        <f t="shared" si="30"/>
        <v>0</v>
      </c>
      <c r="U378">
        <f t="shared" si="31"/>
        <v>0</v>
      </c>
      <c r="V378">
        <f t="shared" si="32"/>
        <v>0</v>
      </c>
      <c r="W378">
        <f t="shared" si="33"/>
        <v>0</v>
      </c>
      <c r="X378">
        <f t="shared" si="34"/>
        <v>0</v>
      </c>
      <c r="Y378">
        <f t="shared" si="35"/>
        <v>0</v>
      </c>
    </row>
    <row r="379" spans="1:26" hidden="1" x14ac:dyDescent="0.35">
      <c r="A379">
        <v>377</v>
      </c>
      <c r="C379" t="s">
        <v>719</v>
      </c>
      <c r="D379" t="s">
        <v>720</v>
      </c>
      <c r="E379" s="1">
        <v>36620</v>
      </c>
      <c r="F379" t="s">
        <v>21</v>
      </c>
      <c r="G379">
        <v>67730</v>
      </c>
      <c r="H379">
        <v>-444.69798958761697</v>
      </c>
      <c r="I379">
        <v>-6.2282011376897204</v>
      </c>
      <c r="J379">
        <v>4.4469798958761597</v>
      </c>
      <c r="K379">
        <v>-6.9509999999999996</v>
      </c>
      <c r="L379">
        <v>-413.82259053670998</v>
      </c>
      <c r="M379">
        <v>387.82744814364798</v>
      </c>
      <c r="N379">
        <v>3.9148322066640699</v>
      </c>
      <c r="O379">
        <v>1054.44626734247</v>
      </c>
      <c r="P379">
        <v>8.56110614787573</v>
      </c>
      <c r="Q379">
        <v>-1.31037529579347</v>
      </c>
      <c r="R379">
        <v>-253.97717</v>
      </c>
      <c r="S379">
        <v>-93.37</v>
      </c>
      <c r="T379">
        <f t="shared" si="30"/>
        <v>0</v>
      </c>
      <c r="U379">
        <f t="shared" si="31"/>
        <v>0</v>
      </c>
      <c r="V379">
        <f t="shared" si="32"/>
        <v>0</v>
      </c>
      <c r="W379">
        <f t="shared" si="33"/>
        <v>0</v>
      </c>
      <c r="X379">
        <f t="shared" si="34"/>
        <v>0</v>
      </c>
      <c r="Y379">
        <f t="shared" si="35"/>
        <v>0</v>
      </c>
    </row>
    <row r="380" spans="1:26" x14ac:dyDescent="0.35">
      <c r="A380">
        <v>378</v>
      </c>
      <c r="C380" t="s">
        <v>721</v>
      </c>
      <c r="D380" t="s">
        <v>374</v>
      </c>
      <c r="E380" s="1">
        <v>36595</v>
      </c>
      <c r="F380" t="s">
        <v>21</v>
      </c>
      <c r="G380">
        <v>61157</v>
      </c>
      <c r="H380">
        <v>263.40027258216401</v>
      </c>
      <c r="I380">
        <v>-4.7995311531915101</v>
      </c>
      <c r="J380">
        <v>-2.6340027258216399</v>
      </c>
      <c r="K380">
        <v>5.2679999999999998</v>
      </c>
      <c r="L380">
        <v>-571.839652945598</v>
      </c>
      <c r="M380">
        <v>638.82602886732695</v>
      </c>
      <c r="N380">
        <v>-6.6954735764493298</v>
      </c>
      <c r="O380">
        <v>937.97530134143597</v>
      </c>
      <c r="Q380">
        <v>-0.34757881649072098</v>
      </c>
      <c r="R380">
        <v>-251.68136999999999</v>
      </c>
      <c r="S380">
        <v>211.41</v>
      </c>
      <c r="T380">
        <f t="shared" si="30"/>
        <v>0</v>
      </c>
      <c r="U380">
        <f t="shared" si="31"/>
        <v>0</v>
      </c>
      <c r="V380">
        <f t="shared" si="32"/>
        <v>1</v>
      </c>
      <c r="W380">
        <f t="shared" si="33"/>
        <v>0</v>
      </c>
      <c r="X380">
        <f t="shared" si="34"/>
        <v>0</v>
      </c>
      <c r="Y380">
        <f t="shared" si="35"/>
        <v>1</v>
      </c>
      <c r="Z380">
        <f>SUM(T380:X380)</f>
        <v>1</v>
      </c>
    </row>
    <row r="381" spans="1:26" hidden="1" x14ac:dyDescent="0.35">
      <c r="A381">
        <v>379</v>
      </c>
      <c r="C381" t="s">
        <v>333</v>
      </c>
      <c r="D381" t="s">
        <v>722</v>
      </c>
      <c r="E381" s="1">
        <v>36979</v>
      </c>
      <c r="F381" t="s">
        <v>21</v>
      </c>
      <c r="G381">
        <v>63499</v>
      </c>
      <c r="H381">
        <v>-419.11913427058499</v>
      </c>
      <c r="I381">
        <v>-9.6876622803482206</v>
      </c>
      <c r="J381">
        <v>4.1911913427058503</v>
      </c>
      <c r="K381">
        <v>-6.2850000000000001</v>
      </c>
      <c r="L381">
        <v>-310.158645250029</v>
      </c>
      <c r="M381">
        <v>392.330268588965</v>
      </c>
      <c r="N381">
        <v>6.9380139124487501</v>
      </c>
      <c r="O381">
        <v>1051.44419565208</v>
      </c>
      <c r="P381">
        <v>11.344639694736401</v>
      </c>
      <c r="Q381">
        <v>0.16928200222581999</v>
      </c>
      <c r="R381">
        <v>-254.23222000000001</v>
      </c>
      <c r="S381">
        <v>-143.52000000000001</v>
      </c>
      <c r="T381">
        <f t="shared" si="30"/>
        <v>0</v>
      </c>
      <c r="U381">
        <f t="shared" si="31"/>
        <v>0</v>
      </c>
      <c r="V381">
        <f t="shared" si="32"/>
        <v>0</v>
      </c>
      <c r="W381">
        <f t="shared" si="33"/>
        <v>0</v>
      </c>
      <c r="X381">
        <f t="shared" si="34"/>
        <v>0</v>
      </c>
      <c r="Y381">
        <f t="shared" si="35"/>
        <v>0</v>
      </c>
    </row>
    <row r="382" spans="1:26" hidden="1" x14ac:dyDescent="0.35">
      <c r="A382">
        <v>380</v>
      </c>
      <c r="C382" t="s">
        <v>723</v>
      </c>
      <c r="D382" t="s">
        <v>724</v>
      </c>
      <c r="E382" s="1">
        <v>36479</v>
      </c>
      <c r="F382" t="s">
        <v>21</v>
      </c>
      <c r="G382">
        <v>17930</v>
      </c>
      <c r="H382">
        <v>768.77031052167797</v>
      </c>
      <c r="I382">
        <v>-5.69952815935107</v>
      </c>
      <c r="J382">
        <v>-7.6877031052167801</v>
      </c>
      <c r="K382">
        <v>5.44</v>
      </c>
      <c r="L382">
        <v>-433.97099338847198</v>
      </c>
      <c r="M382">
        <v>550.05855579793501</v>
      </c>
      <c r="N382">
        <v>-4.1453598982338002</v>
      </c>
      <c r="O382">
        <v>925.72739527842703</v>
      </c>
      <c r="P382">
        <v>2.66956779063625</v>
      </c>
      <c r="Q382">
        <v>-0.15892474307689</v>
      </c>
      <c r="R382">
        <v>-254.07461000000001</v>
      </c>
      <c r="S382">
        <v>219.71</v>
      </c>
      <c r="T382">
        <f t="shared" si="30"/>
        <v>0</v>
      </c>
      <c r="U382">
        <f t="shared" si="31"/>
        <v>0</v>
      </c>
      <c r="V382">
        <f t="shared" si="32"/>
        <v>0</v>
      </c>
      <c r="W382">
        <f t="shared" si="33"/>
        <v>0</v>
      </c>
      <c r="X382">
        <f t="shared" si="34"/>
        <v>0</v>
      </c>
      <c r="Y382">
        <f t="shared" si="35"/>
        <v>0</v>
      </c>
    </row>
    <row r="383" spans="1:26" hidden="1" x14ac:dyDescent="0.35">
      <c r="A383">
        <v>381</v>
      </c>
      <c r="C383" t="s">
        <v>725</v>
      </c>
      <c r="D383" t="s">
        <v>726</v>
      </c>
      <c r="E383" s="1">
        <v>36132</v>
      </c>
      <c r="F383" t="s">
        <v>21</v>
      </c>
      <c r="G383">
        <v>47383</v>
      </c>
      <c r="H383">
        <v>505.47560012830201</v>
      </c>
      <c r="I383">
        <v>4.53075691265951</v>
      </c>
      <c r="J383">
        <v>-5.0547560012830202</v>
      </c>
      <c r="K383">
        <v>2.915</v>
      </c>
      <c r="L383">
        <v>-533.64002376068504</v>
      </c>
      <c r="M383">
        <v>434.72475150313102</v>
      </c>
      <c r="N383">
        <v>5.1122128985577397</v>
      </c>
      <c r="O383">
        <v>1048.9240387608399</v>
      </c>
      <c r="P383">
        <v>7.9545273564462802</v>
      </c>
      <c r="Q383">
        <v>-0.149050874461194</v>
      </c>
      <c r="R383">
        <v>-245.71696</v>
      </c>
      <c r="S383">
        <v>22.61</v>
      </c>
      <c r="T383">
        <f t="shared" si="30"/>
        <v>0</v>
      </c>
      <c r="U383">
        <f t="shared" si="31"/>
        <v>0</v>
      </c>
      <c r="V383">
        <f t="shared" si="32"/>
        <v>0</v>
      </c>
      <c r="W383">
        <f t="shared" si="33"/>
        <v>0</v>
      </c>
      <c r="X383">
        <f t="shared" si="34"/>
        <v>0</v>
      </c>
      <c r="Y383">
        <f t="shared" si="35"/>
        <v>0</v>
      </c>
    </row>
    <row r="384" spans="1:26" hidden="1" x14ac:dyDescent="0.35">
      <c r="A384">
        <v>382</v>
      </c>
      <c r="C384" t="s">
        <v>727</v>
      </c>
      <c r="D384" t="s">
        <v>728</v>
      </c>
      <c r="E384" s="1">
        <v>36436</v>
      </c>
      <c r="F384" t="s">
        <v>21</v>
      </c>
      <c r="G384">
        <v>56541</v>
      </c>
      <c r="H384">
        <v>426.63775080431702</v>
      </c>
      <c r="I384">
        <v>-4.8841016376952497</v>
      </c>
      <c r="J384">
        <v>-4.2663775080431696</v>
      </c>
      <c r="K384">
        <v>4.1389999999999896</v>
      </c>
      <c r="L384">
        <v>-886.93248069745198</v>
      </c>
      <c r="M384">
        <v>603.31086736650695</v>
      </c>
      <c r="N384">
        <v>-6.7774743383385498</v>
      </c>
      <c r="O384">
        <v>935.97148583917306</v>
      </c>
      <c r="P384">
        <v>1.7862629591446799</v>
      </c>
      <c r="Q384">
        <v>0.78824507409903899</v>
      </c>
      <c r="R384">
        <v>-255.01863</v>
      </c>
      <c r="S384">
        <v>230.87</v>
      </c>
      <c r="T384">
        <f t="shared" si="30"/>
        <v>0</v>
      </c>
      <c r="U384">
        <f t="shared" si="31"/>
        <v>0</v>
      </c>
      <c r="V384">
        <f t="shared" si="32"/>
        <v>0</v>
      </c>
      <c r="W384">
        <f t="shared" si="33"/>
        <v>0</v>
      </c>
      <c r="X384">
        <f t="shared" si="34"/>
        <v>0</v>
      </c>
      <c r="Y384">
        <f t="shared" si="35"/>
        <v>0</v>
      </c>
    </row>
    <row r="385" spans="1:26" hidden="1" x14ac:dyDescent="0.35">
      <c r="A385">
        <v>383</v>
      </c>
      <c r="C385" t="s">
        <v>729</v>
      </c>
      <c r="D385" t="s">
        <v>730</v>
      </c>
      <c r="E385" s="1">
        <v>35540</v>
      </c>
      <c r="F385" t="s">
        <v>21</v>
      </c>
      <c r="G385">
        <v>37880</v>
      </c>
      <c r="H385">
        <v>320.40093383185302</v>
      </c>
      <c r="I385">
        <v>-7.0844651692322698</v>
      </c>
      <c r="J385">
        <v>-3.2040093383185302</v>
      </c>
      <c r="K385">
        <v>4.2919999999999998</v>
      </c>
      <c r="L385">
        <v>-410.45259217834098</v>
      </c>
      <c r="M385">
        <v>589.54811973651897</v>
      </c>
      <c r="N385">
        <v>-3.3570299935021501</v>
      </c>
      <c r="O385">
        <v>958.879452486226</v>
      </c>
      <c r="P385">
        <v>4.9668009858109903</v>
      </c>
      <c r="Q385">
        <v>0.44337137192961401</v>
      </c>
      <c r="R385">
        <v>-251.77154999999999</v>
      </c>
      <c r="S385">
        <v>156.13</v>
      </c>
      <c r="T385">
        <f t="shared" si="30"/>
        <v>0</v>
      </c>
      <c r="U385">
        <f t="shared" si="31"/>
        <v>0</v>
      </c>
      <c r="V385">
        <f t="shared" si="32"/>
        <v>0</v>
      </c>
      <c r="W385">
        <f t="shared" si="33"/>
        <v>0</v>
      </c>
      <c r="X385">
        <f t="shared" si="34"/>
        <v>0</v>
      </c>
      <c r="Y385">
        <f t="shared" si="35"/>
        <v>0</v>
      </c>
    </row>
    <row r="386" spans="1:26" hidden="1" x14ac:dyDescent="0.35">
      <c r="A386">
        <v>384</v>
      </c>
      <c r="C386" t="s">
        <v>731</v>
      </c>
      <c r="D386" t="s">
        <v>732</v>
      </c>
      <c r="E386" s="1">
        <v>36218</v>
      </c>
      <c r="F386" t="s">
        <v>24</v>
      </c>
      <c r="G386">
        <v>49297</v>
      </c>
      <c r="H386">
        <v>367.40998568584303</v>
      </c>
      <c r="I386">
        <v>-5.0307045649465296</v>
      </c>
      <c r="J386">
        <v>-3.67409985685843</v>
      </c>
      <c r="K386">
        <v>5.0389999999999997</v>
      </c>
      <c r="L386">
        <v>-405.41324426620798</v>
      </c>
      <c r="M386">
        <v>592.79288700720394</v>
      </c>
      <c r="N386">
        <v>-4.91344517898579</v>
      </c>
      <c r="O386">
        <v>970.82818162977401</v>
      </c>
      <c r="P386">
        <v>3.16902780614882</v>
      </c>
      <c r="Q386">
        <v>-0.64721009257969198</v>
      </c>
      <c r="R386">
        <v>-251.2456</v>
      </c>
      <c r="S386">
        <v>161.46</v>
      </c>
      <c r="T386">
        <f t="shared" si="30"/>
        <v>0</v>
      </c>
      <c r="U386">
        <f t="shared" si="31"/>
        <v>0</v>
      </c>
      <c r="V386">
        <f t="shared" si="32"/>
        <v>0</v>
      </c>
      <c r="W386">
        <f t="shared" si="33"/>
        <v>0</v>
      </c>
      <c r="X386">
        <f t="shared" si="34"/>
        <v>0</v>
      </c>
      <c r="Y386">
        <f t="shared" si="35"/>
        <v>0</v>
      </c>
    </row>
    <row r="387" spans="1:26" hidden="1" x14ac:dyDescent="0.35">
      <c r="A387">
        <v>385</v>
      </c>
      <c r="C387" t="s">
        <v>733</v>
      </c>
      <c r="D387" t="s">
        <v>734</v>
      </c>
      <c r="E387" s="1">
        <v>35981</v>
      </c>
      <c r="F387" t="s">
        <v>24</v>
      </c>
      <c r="G387">
        <v>53830</v>
      </c>
      <c r="H387">
        <v>528.89339414220206</v>
      </c>
      <c r="I387">
        <v>-3.2293705752737201</v>
      </c>
      <c r="J387">
        <v>-5.2889339414220196</v>
      </c>
      <c r="K387">
        <v>7.5010000000000003</v>
      </c>
      <c r="L387">
        <v>-286.87593965235999</v>
      </c>
      <c r="M387">
        <v>618.76970904033794</v>
      </c>
      <c r="N387">
        <v>-4.6156962785820701</v>
      </c>
      <c r="O387">
        <v>965.95242913429297</v>
      </c>
      <c r="P387">
        <v>2.2960094789271799</v>
      </c>
      <c r="Q387">
        <v>-8.5213839830199201E-2</v>
      </c>
      <c r="R387">
        <v>-249.14775</v>
      </c>
      <c r="S387">
        <v>169.8</v>
      </c>
      <c r="T387">
        <f t="shared" ref="T387:T401" si="36">IF(I387="",1,0)</f>
        <v>0</v>
      </c>
      <c r="U387">
        <f t="shared" ref="U387:U401" si="37">IF(J387="",1,0)</f>
        <v>0</v>
      </c>
      <c r="V387">
        <f t="shared" ref="V387:V401" si="38">IF(P387="",1,0)</f>
        <v>0</v>
      </c>
      <c r="W387">
        <f t="shared" ref="W387:W401" si="39">IF(R387="",1,0)</f>
        <v>0</v>
      </c>
      <c r="X387">
        <f t="shared" ref="X387:X401" si="40">IF(S387="",1,0)</f>
        <v>0</v>
      </c>
      <c r="Y387">
        <f t="shared" ref="Y387:Y401" si="41">--OR(T387:X387)</f>
        <v>0</v>
      </c>
    </row>
    <row r="388" spans="1:26" hidden="1" x14ac:dyDescent="0.35">
      <c r="A388">
        <v>386</v>
      </c>
      <c r="C388" t="s">
        <v>735</v>
      </c>
      <c r="D388" t="s">
        <v>736</v>
      </c>
      <c r="E388" s="1">
        <v>35661</v>
      </c>
      <c r="F388" t="s">
        <v>21</v>
      </c>
      <c r="G388">
        <v>52151</v>
      </c>
      <c r="H388">
        <v>-672.77960239116101</v>
      </c>
      <c r="I388">
        <v>3.6996050051184199</v>
      </c>
      <c r="J388">
        <v>6.7277960239116101</v>
      </c>
      <c r="K388">
        <v>3.5339999999999998</v>
      </c>
      <c r="L388">
        <v>742.13424546808005</v>
      </c>
      <c r="M388">
        <v>549.78323692789297</v>
      </c>
      <c r="N388">
        <v>4.5739402452243896</v>
      </c>
      <c r="O388">
        <v>1048.5947201798101</v>
      </c>
      <c r="P388">
        <v>4.1046478390096803</v>
      </c>
      <c r="Q388">
        <v>0.72061671999626398</v>
      </c>
      <c r="R388">
        <v>-231.79021</v>
      </c>
      <c r="S388">
        <v>-49.41</v>
      </c>
      <c r="T388">
        <f t="shared" si="36"/>
        <v>0</v>
      </c>
      <c r="U388">
        <f t="shared" si="37"/>
        <v>0</v>
      </c>
      <c r="V388">
        <f t="shared" si="38"/>
        <v>0</v>
      </c>
      <c r="W388">
        <f t="shared" si="39"/>
        <v>0</v>
      </c>
      <c r="X388">
        <f t="shared" si="40"/>
        <v>0</v>
      </c>
      <c r="Y388">
        <f t="shared" si="41"/>
        <v>0</v>
      </c>
    </row>
    <row r="389" spans="1:26" hidden="1" x14ac:dyDescent="0.35">
      <c r="A389">
        <v>387</v>
      </c>
      <c r="C389" t="s">
        <v>737</v>
      </c>
      <c r="D389" t="s">
        <v>738</v>
      </c>
      <c r="E389" s="1">
        <v>35513</v>
      </c>
      <c r="F389" t="s">
        <v>21</v>
      </c>
      <c r="G389">
        <v>55522</v>
      </c>
      <c r="H389">
        <v>-462.66579208503401</v>
      </c>
      <c r="I389">
        <v>5.2380029707481803</v>
      </c>
      <c r="J389">
        <v>4.6266579208503398</v>
      </c>
      <c r="K389">
        <v>5.5010000000000003</v>
      </c>
      <c r="L389">
        <v>653.952022593489</v>
      </c>
      <c r="M389">
        <v>629.48492102285297</v>
      </c>
      <c r="N389">
        <v>7.1230527407083404</v>
      </c>
      <c r="O389">
        <v>1076.2716025386901</v>
      </c>
      <c r="P389">
        <v>10.2816294281174</v>
      </c>
      <c r="Q389">
        <v>-8.1630695223230895E-2</v>
      </c>
      <c r="R389">
        <v>-228.96080000000001</v>
      </c>
      <c r="S389">
        <v>-44.36</v>
      </c>
      <c r="T389">
        <f t="shared" si="36"/>
        <v>0</v>
      </c>
      <c r="U389">
        <f t="shared" si="37"/>
        <v>0</v>
      </c>
      <c r="V389">
        <f t="shared" si="38"/>
        <v>0</v>
      </c>
      <c r="W389">
        <f t="shared" si="39"/>
        <v>0</v>
      </c>
      <c r="X389">
        <f t="shared" si="40"/>
        <v>0</v>
      </c>
      <c r="Y389">
        <f t="shared" si="41"/>
        <v>0</v>
      </c>
    </row>
    <row r="390" spans="1:26" hidden="1" x14ac:dyDescent="0.35">
      <c r="A390">
        <v>388</v>
      </c>
      <c r="C390" t="s">
        <v>739</v>
      </c>
      <c r="D390" t="s">
        <v>740</v>
      </c>
      <c r="E390" s="1">
        <v>35533</v>
      </c>
      <c r="F390" t="s">
        <v>21</v>
      </c>
      <c r="G390">
        <v>91534</v>
      </c>
      <c r="H390">
        <v>186.65540699722499</v>
      </c>
      <c r="I390">
        <v>5.4149126879281599</v>
      </c>
      <c r="J390">
        <v>-1.86655406997225</v>
      </c>
      <c r="K390">
        <v>4.7439999999999998</v>
      </c>
      <c r="L390">
        <v>-796.06456142702802</v>
      </c>
      <c r="M390">
        <v>384.236097183212</v>
      </c>
      <c r="N390">
        <v>0.17026324470347701</v>
      </c>
      <c r="O390">
        <v>1085.1096629079</v>
      </c>
      <c r="P390">
        <v>9.2236110316498796E-2</v>
      </c>
      <c r="Q390">
        <v>-1.31759067410263</v>
      </c>
      <c r="R390">
        <v>-246.05341999999999</v>
      </c>
      <c r="S390">
        <v>-41.88</v>
      </c>
      <c r="T390">
        <f t="shared" si="36"/>
        <v>0</v>
      </c>
      <c r="U390">
        <f t="shared" si="37"/>
        <v>0</v>
      </c>
      <c r="V390">
        <f t="shared" si="38"/>
        <v>0</v>
      </c>
      <c r="W390">
        <f t="shared" si="39"/>
        <v>0</v>
      </c>
      <c r="X390">
        <f t="shared" si="40"/>
        <v>0</v>
      </c>
      <c r="Y390">
        <f t="shared" si="41"/>
        <v>0</v>
      </c>
    </row>
    <row r="391" spans="1:26" hidden="1" x14ac:dyDescent="0.35">
      <c r="A391">
        <v>389</v>
      </c>
      <c r="C391" t="s">
        <v>741</v>
      </c>
      <c r="D391" t="s">
        <v>742</v>
      </c>
      <c r="E391" s="1">
        <v>37105</v>
      </c>
      <c r="F391" t="s">
        <v>21</v>
      </c>
      <c r="G391">
        <v>51189</v>
      </c>
      <c r="H391">
        <v>-378.21125128895301</v>
      </c>
      <c r="I391">
        <v>4.8255553797095798</v>
      </c>
      <c r="J391">
        <v>3.7821125128895301</v>
      </c>
      <c r="K391">
        <v>5.9820000000000002</v>
      </c>
      <c r="L391">
        <v>515.286329032303</v>
      </c>
      <c r="M391">
        <v>644.63157676662104</v>
      </c>
      <c r="N391">
        <v>6.9645330212828496</v>
      </c>
      <c r="O391">
        <v>1061.1859636419799</v>
      </c>
      <c r="P391">
        <v>10.7436221207376</v>
      </c>
      <c r="Q391">
        <v>-0.51135308338516705</v>
      </c>
      <c r="R391">
        <v>-229.72989999999999</v>
      </c>
      <c r="S391">
        <v>-13.61</v>
      </c>
      <c r="T391">
        <f t="shared" si="36"/>
        <v>0</v>
      </c>
      <c r="U391">
        <f t="shared" si="37"/>
        <v>0</v>
      </c>
      <c r="V391">
        <f t="shared" si="38"/>
        <v>0</v>
      </c>
      <c r="W391">
        <f t="shared" si="39"/>
        <v>0</v>
      </c>
      <c r="X391">
        <f t="shared" si="40"/>
        <v>0</v>
      </c>
      <c r="Y391">
        <f t="shared" si="41"/>
        <v>0</v>
      </c>
    </row>
    <row r="392" spans="1:26" hidden="1" x14ac:dyDescent="0.35">
      <c r="A392">
        <v>390</v>
      </c>
      <c r="C392" t="s">
        <v>743</v>
      </c>
      <c r="D392" t="s">
        <v>744</v>
      </c>
      <c r="E392" s="1">
        <v>36265</v>
      </c>
      <c r="F392" t="s">
        <v>21</v>
      </c>
      <c r="H392">
        <v>-473.84819504927799</v>
      </c>
      <c r="I392">
        <v>-5.3815944565342004</v>
      </c>
      <c r="J392">
        <v>4.7384819504927798</v>
      </c>
      <c r="K392">
        <v>-3.4449999999999998</v>
      </c>
      <c r="L392">
        <v>-434.19446809184598</v>
      </c>
      <c r="M392">
        <v>420.00543038838299</v>
      </c>
      <c r="N392">
        <v>6.9382298218359901</v>
      </c>
      <c r="O392">
        <v>1023.03278443044</v>
      </c>
      <c r="P392">
        <v>8.7559569317496901</v>
      </c>
      <c r="Q392">
        <v>2.0710708268170701</v>
      </c>
      <c r="R392">
        <v>-248.9768</v>
      </c>
      <c r="S392">
        <v>-83.78</v>
      </c>
      <c r="T392">
        <f t="shared" si="36"/>
        <v>0</v>
      </c>
      <c r="U392">
        <f t="shared" si="37"/>
        <v>0</v>
      </c>
      <c r="V392">
        <f t="shared" si="38"/>
        <v>0</v>
      </c>
      <c r="W392">
        <f t="shared" si="39"/>
        <v>0</v>
      </c>
      <c r="X392">
        <f t="shared" si="40"/>
        <v>0</v>
      </c>
      <c r="Y392">
        <f t="shared" si="41"/>
        <v>0</v>
      </c>
    </row>
    <row r="393" spans="1:26" hidden="1" x14ac:dyDescent="0.35">
      <c r="A393">
        <v>391</v>
      </c>
      <c r="C393" t="s">
        <v>745</v>
      </c>
      <c r="D393" t="s">
        <v>746</v>
      </c>
      <c r="E393" s="1">
        <v>36282</v>
      </c>
      <c r="F393" t="s">
        <v>24</v>
      </c>
      <c r="G393">
        <v>53411</v>
      </c>
      <c r="H393">
        <v>541.51521840328599</v>
      </c>
      <c r="I393">
        <v>4.82409787355743</v>
      </c>
      <c r="J393">
        <v>-5.41515218403286</v>
      </c>
      <c r="K393">
        <v>7.8070000000000004</v>
      </c>
      <c r="L393">
        <v>-503.96630502440303</v>
      </c>
      <c r="M393">
        <v>400.21271848284402</v>
      </c>
      <c r="N393">
        <v>5.2618918524444096</v>
      </c>
      <c r="O393">
        <v>1051.7275739491399</v>
      </c>
      <c r="P393">
        <v>3.7592721870536998</v>
      </c>
      <c r="Q393">
        <v>0.52671151481827505</v>
      </c>
      <c r="R393">
        <v>-242.68269000000001</v>
      </c>
      <c r="S393">
        <v>-27.14</v>
      </c>
      <c r="T393">
        <f t="shared" si="36"/>
        <v>0</v>
      </c>
      <c r="U393">
        <f t="shared" si="37"/>
        <v>0</v>
      </c>
      <c r="V393">
        <f t="shared" si="38"/>
        <v>0</v>
      </c>
      <c r="W393">
        <f t="shared" si="39"/>
        <v>0</v>
      </c>
      <c r="X393">
        <f t="shared" si="40"/>
        <v>0</v>
      </c>
      <c r="Y393">
        <f t="shared" si="41"/>
        <v>0</v>
      </c>
    </row>
    <row r="394" spans="1:26" hidden="1" x14ac:dyDescent="0.35">
      <c r="A394">
        <v>392</v>
      </c>
      <c r="C394" t="s">
        <v>747</v>
      </c>
      <c r="D394" t="s">
        <v>748</v>
      </c>
      <c r="E394" s="1">
        <v>37190</v>
      </c>
      <c r="F394" t="s">
        <v>24</v>
      </c>
      <c r="G394">
        <v>81491</v>
      </c>
      <c r="H394">
        <v>398.40037740135102</v>
      </c>
      <c r="I394">
        <v>3.25734920773818</v>
      </c>
      <c r="J394">
        <v>-3.9840037740135101</v>
      </c>
      <c r="K394">
        <v>6.9089999999999998</v>
      </c>
      <c r="L394">
        <v>-402.32147238237201</v>
      </c>
      <c r="M394">
        <v>388.06185929814302</v>
      </c>
      <c r="N394">
        <v>1.8946862215740301</v>
      </c>
      <c r="P394">
        <v>-0.61788070831012498</v>
      </c>
      <c r="Q394">
        <v>-1.3866356461571601</v>
      </c>
      <c r="R394">
        <v>-245.76680999999999</v>
      </c>
      <c r="S394">
        <v>-59.14</v>
      </c>
      <c r="T394">
        <f t="shared" si="36"/>
        <v>0</v>
      </c>
      <c r="U394">
        <f t="shared" si="37"/>
        <v>0</v>
      </c>
      <c r="V394">
        <f t="shared" si="38"/>
        <v>0</v>
      </c>
      <c r="W394">
        <f t="shared" si="39"/>
        <v>0</v>
      </c>
      <c r="X394">
        <f t="shared" si="40"/>
        <v>0</v>
      </c>
      <c r="Y394">
        <f t="shared" si="41"/>
        <v>0</v>
      </c>
    </row>
    <row r="395" spans="1:26" x14ac:dyDescent="0.35">
      <c r="A395">
        <v>393</v>
      </c>
      <c r="C395" t="s">
        <v>749</v>
      </c>
      <c r="D395" t="s">
        <v>750</v>
      </c>
      <c r="E395" s="1">
        <v>35839</v>
      </c>
      <c r="F395" t="s">
        <v>24</v>
      </c>
      <c r="G395">
        <v>70313</v>
      </c>
      <c r="H395">
        <v>-581.73643426408898</v>
      </c>
      <c r="J395">
        <v>5.8173643426408796</v>
      </c>
      <c r="K395">
        <v>3.8919999999999999</v>
      </c>
      <c r="L395">
        <v>268.30138123012603</v>
      </c>
      <c r="M395">
        <v>628.64514348619502</v>
      </c>
      <c r="N395">
        <v>5.0453031682509604</v>
      </c>
      <c r="O395">
        <v>1007.4456822473001</v>
      </c>
      <c r="P395">
        <v>5.78113321915645</v>
      </c>
      <c r="Q395">
        <v>0.427484505227954</v>
      </c>
      <c r="R395">
        <v>-234.21965</v>
      </c>
      <c r="S395">
        <v>9.64</v>
      </c>
      <c r="T395">
        <f t="shared" si="36"/>
        <v>1</v>
      </c>
      <c r="U395">
        <f t="shared" si="37"/>
        <v>0</v>
      </c>
      <c r="V395">
        <f t="shared" si="38"/>
        <v>0</v>
      </c>
      <c r="W395">
        <f t="shared" si="39"/>
        <v>0</v>
      </c>
      <c r="X395">
        <f t="shared" si="40"/>
        <v>0</v>
      </c>
      <c r="Y395">
        <f t="shared" si="41"/>
        <v>1</v>
      </c>
      <c r="Z395">
        <f>SUM(T395:X395)</f>
        <v>1</v>
      </c>
    </row>
    <row r="396" spans="1:26" hidden="1" x14ac:dyDescent="0.35">
      <c r="A396">
        <v>394</v>
      </c>
      <c r="C396" t="s">
        <v>692</v>
      </c>
      <c r="D396" t="s">
        <v>751</v>
      </c>
      <c r="E396" s="1">
        <v>37025</v>
      </c>
      <c r="F396" t="s">
        <v>21</v>
      </c>
      <c r="G396">
        <v>38245</v>
      </c>
      <c r="H396">
        <v>-134.19202715935299</v>
      </c>
      <c r="I396">
        <v>6.4572994982523397</v>
      </c>
      <c r="J396">
        <v>1.3419202715935299</v>
      </c>
      <c r="K396">
        <v>8.6039999999999992</v>
      </c>
      <c r="L396">
        <v>600.19255535960701</v>
      </c>
      <c r="M396">
        <v>628.806024962023</v>
      </c>
      <c r="N396">
        <v>2.8884232807804402</v>
      </c>
      <c r="O396">
        <v>1070.6246352662699</v>
      </c>
      <c r="P396">
        <v>7.35984607020099</v>
      </c>
      <c r="Q396">
        <v>0.16091242196022801</v>
      </c>
      <c r="R396">
        <v>-229.26599999999999</v>
      </c>
      <c r="S396">
        <v>35.299999999999997</v>
      </c>
      <c r="T396">
        <f t="shared" si="36"/>
        <v>0</v>
      </c>
      <c r="U396">
        <f t="shared" si="37"/>
        <v>0</v>
      </c>
      <c r="V396">
        <f t="shared" si="38"/>
        <v>0</v>
      </c>
      <c r="W396">
        <f t="shared" si="39"/>
        <v>0</v>
      </c>
      <c r="X396">
        <f t="shared" si="40"/>
        <v>0</v>
      </c>
      <c r="Y396">
        <f t="shared" si="41"/>
        <v>0</v>
      </c>
    </row>
    <row r="397" spans="1:26" hidden="1" x14ac:dyDescent="0.35">
      <c r="A397">
        <v>395</v>
      </c>
      <c r="C397" t="s">
        <v>458</v>
      </c>
      <c r="D397" t="s">
        <v>752</v>
      </c>
      <c r="E397" s="1">
        <v>36197</v>
      </c>
      <c r="F397" t="s">
        <v>24</v>
      </c>
      <c r="G397">
        <v>45857</v>
      </c>
      <c r="H397">
        <v>-554.18193229128099</v>
      </c>
      <c r="I397">
        <v>-5.6476553541437697</v>
      </c>
      <c r="J397">
        <v>5.5418193229128097</v>
      </c>
      <c r="K397">
        <v>-3.7989999999999999</v>
      </c>
      <c r="L397">
        <v>-591.76465053950596</v>
      </c>
      <c r="M397">
        <v>392.97341982700198</v>
      </c>
      <c r="N397">
        <v>7.0484820581644598</v>
      </c>
      <c r="O397">
        <v>1047.6484051196701</v>
      </c>
      <c r="P397">
        <v>10.408749129663899</v>
      </c>
      <c r="Q397">
        <v>1.88278646664176</v>
      </c>
      <c r="R397">
        <v>-248.39977999999999</v>
      </c>
      <c r="S397">
        <v>-94.89</v>
      </c>
      <c r="T397">
        <f t="shared" si="36"/>
        <v>0</v>
      </c>
      <c r="U397">
        <f t="shared" si="37"/>
        <v>0</v>
      </c>
      <c r="V397">
        <f t="shared" si="38"/>
        <v>0</v>
      </c>
      <c r="W397">
        <f t="shared" si="39"/>
        <v>0</v>
      </c>
      <c r="X397">
        <f t="shared" si="40"/>
        <v>0</v>
      </c>
      <c r="Y397">
        <f t="shared" si="41"/>
        <v>0</v>
      </c>
    </row>
    <row r="398" spans="1:26" hidden="1" x14ac:dyDescent="0.35">
      <c r="A398">
        <v>396</v>
      </c>
      <c r="C398" t="s">
        <v>753</v>
      </c>
      <c r="D398" t="s">
        <v>754</v>
      </c>
      <c r="E398" s="1">
        <v>35745</v>
      </c>
      <c r="F398" t="s">
        <v>24</v>
      </c>
      <c r="G398">
        <v>51842</v>
      </c>
      <c r="H398">
        <v>632.23353003468799</v>
      </c>
      <c r="I398">
        <v>6.7548616283795697</v>
      </c>
      <c r="J398">
        <v>-6.3223353003468796</v>
      </c>
      <c r="K398">
        <v>3.294</v>
      </c>
      <c r="L398">
        <v>-221.84839723155</v>
      </c>
      <c r="M398">
        <v>319.36024995943501</v>
      </c>
      <c r="N398">
        <v>3.9214021821845999</v>
      </c>
      <c r="O398">
        <v>1035.6813133175599</v>
      </c>
      <c r="P398">
        <v>-0.169740658779473</v>
      </c>
      <c r="Q398">
        <v>-1.07430334656252</v>
      </c>
      <c r="R398">
        <v>-246.87982</v>
      </c>
      <c r="S398">
        <v>-15.53</v>
      </c>
      <c r="T398">
        <f t="shared" si="36"/>
        <v>0</v>
      </c>
      <c r="U398">
        <f t="shared" si="37"/>
        <v>0</v>
      </c>
      <c r="V398">
        <f t="shared" si="38"/>
        <v>0</v>
      </c>
      <c r="W398">
        <f t="shared" si="39"/>
        <v>0</v>
      </c>
      <c r="X398">
        <f t="shared" si="40"/>
        <v>0</v>
      </c>
      <c r="Y398">
        <f t="shared" si="41"/>
        <v>0</v>
      </c>
    </row>
    <row r="399" spans="1:26" hidden="1" x14ac:dyDescent="0.35">
      <c r="A399">
        <v>397</v>
      </c>
      <c r="C399" t="s">
        <v>755</v>
      </c>
      <c r="D399" t="s">
        <v>756</v>
      </c>
      <c r="E399" s="1">
        <v>36113</v>
      </c>
      <c r="F399" t="s">
        <v>21</v>
      </c>
      <c r="G399">
        <v>61982</v>
      </c>
      <c r="H399">
        <v>292.10873793536598</v>
      </c>
      <c r="I399">
        <v>5.2345298334776</v>
      </c>
      <c r="J399">
        <v>-2.92108737935366</v>
      </c>
      <c r="K399">
        <v>4.2300000000000004</v>
      </c>
      <c r="L399">
        <v>-787.03604953023398</v>
      </c>
      <c r="M399">
        <v>433.25996704442298</v>
      </c>
      <c r="N399">
        <v>3.8981597040978602</v>
      </c>
      <c r="O399">
        <v>1069.7941101399099</v>
      </c>
      <c r="P399">
        <v>6.4955793014390499</v>
      </c>
      <c r="Q399">
        <v>-2.28653739521656</v>
      </c>
      <c r="R399">
        <v>-244.01333</v>
      </c>
      <c r="S399">
        <v>1.25</v>
      </c>
      <c r="T399">
        <f t="shared" si="36"/>
        <v>0</v>
      </c>
      <c r="U399">
        <f t="shared" si="37"/>
        <v>0</v>
      </c>
      <c r="V399">
        <f t="shared" si="38"/>
        <v>0</v>
      </c>
      <c r="W399">
        <f t="shared" si="39"/>
        <v>0</v>
      </c>
      <c r="X399">
        <f t="shared" si="40"/>
        <v>0</v>
      </c>
      <c r="Y399">
        <f t="shared" si="41"/>
        <v>0</v>
      </c>
    </row>
    <row r="400" spans="1:26" hidden="1" x14ac:dyDescent="0.35">
      <c r="A400">
        <v>398</v>
      </c>
      <c r="C400" t="s">
        <v>66</v>
      </c>
      <c r="D400" t="s">
        <v>328</v>
      </c>
      <c r="E400" s="1">
        <v>36081</v>
      </c>
      <c r="F400" t="s">
        <v>24</v>
      </c>
      <c r="G400">
        <v>56020</v>
      </c>
      <c r="H400">
        <v>-726.418552550512</v>
      </c>
      <c r="I400">
        <v>6.7355818590327603</v>
      </c>
      <c r="J400">
        <v>7.2641855255051198</v>
      </c>
      <c r="K400">
        <v>3.9079999999999999</v>
      </c>
      <c r="L400">
        <v>511.960762035794</v>
      </c>
      <c r="M400">
        <v>613.39151381819204</v>
      </c>
      <c r="N400">
        <v>7.2444990447197197</v>
      </c>
      <c r="O400">
        <v>1042.0588039563399</v>
      </c>
      <c r="P400">
        <v>7.5542592816516603</v>
      </c>
      <c r="Q400">
        <v>-0.78881663993164297</v>
      </c>
      <c r="R400">
        <v>-228.24289999999999</v>
      </c>
      <c r="S400">
        <v>-18.27</v>
      </c>
      <c r="T400">
        <f t="shared" si="36"/>
        <v>0</v>
      </c>
      <c r="U400">
        <f t="shared" si="37"/>
        <v>0</v>
      </c>
      <c r="V400">
        <f t="shared" si="38"/>
        <v>0</v>
      </c>
      <c r="W400">
        <f t="shared" si="39"/>
        <v>0</v>
      </c>
      <c r="X400">
        <f t="shared" si="40"/>
        <v>0</v>
      </c>
      <c r="Y400">
        <f t="shared" si="41"/>
        <v>0</v>
      </c>
    </row>
    <row r="401" spans="1:26" hidden="1" x14ac:dyDescent="0.35">
      <c r="A401">
        <v>399</v>
      </c>
      <c r="C401" t="s">
        <v>757</v>
      </c>
      <c r="D401" t="s">
        <v>758</v>
      </c>
      <c r="E401" s="1">
        <v>36367</v>
      </c>
      <c r="F401" t="s">
        <v>24</v>
      </c>
      <c r="G401">
        <v>46452</v>
      </c>
      <c r="H401">
        <v>-735.93972684219796</v>
      </c>
      <c r="I401">
        <v>7.2248717723158098</v>
      </c>
      <c r="J401" s="4">
        <f>-H401/100</f>
        <v>7.3593972684219793</v>
      </c>
      <c r="K401">
        <v>2.8889999999999998</v>
      </c>
      <c r="M401">
        <v>513.45746991301996</v>
      </c>
      <c r="N401">
        <v>3.0959424053982598</v>
      </c>
      <c r="O401">
        <v>1035.3315888513</v>
      </c>
      <c r="P401">
        <v>0.47716532316054799</v>
      </c>
      <c r="Q401">
        <v>0.97562740050720298</v>
      </c>
      <c r="R401">
        <v>-230.70067</v>
      </c>
      <c r="S401">
        <v>-8.7799999999999994</v>
      </c>
      <c r="T401">
        <f t="shared" si="36"/>
        <v>0</v>
      </c>
      <c r="U401">
        <f t="shared" si="37"/>
        <v>0</v>
      </c>
      <c r="V401">
        <f t="shared" si="38"/>
        <v>0</v>
      </c>
      <c r="W401">
        <f t="shared" si="39"/>
        <v>0</v>
      </c>
      <c r="X401">
        <f t="shared" si="40"/>
        <v>0</v>
      </c>
      <c r="Y401">
        <f t="shared" si="41"/>
        <v>0</v>
      </c>
      <c r="Z401">
        <f>SUM(T401:X401)</f>
        <v>0</v>
      </c>
    </row>
  </sheetData>
  <autoFilter ref="A1:Z401">
    <filterColumn colId="24">
      <filters>
        <filter val="1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dataset_test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</dc:creator>
  <cp:lastModifiedBy>Alejandro Aparicio</cp:lastModifiedBy>
  <dcterms:created xsi:type="dcterms:W3CDTF">2025-01-24T18:56:47Z</dcterms:created>
  <dcterms:modified xsi:type="dcterms:W3CDTF">2025-01-24T18:56:47Z</dcterms:modified>
</cp:coreProperties>
</file>